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ttag\Documents\Projects\Automation\Gamma Results To Excel\"/>
    </mc:Choice>
  </mc:AlternateContent>
  <xr:revisionPtr revIDLastSave="0" documentId="13_ncr:1_{849B5714-E482-4989-BFD4-7952CD4FD2A1}" xr6:coauthVersionLast="47" xr6:coauthVersionMax="47" xr10:uidLastSave="{00000000-0000-0000-0000-000000000000}"/>
  <bookViews>
    <workbookView xWindow="720" yWindow="720" windowWidth="14400" windowHeight="7360" xr2:uid="{00000000-000D-0000-FFFF-FFFF00000000}"/>
  </bookViews>
  <sheets>
    <sheet name="Sheet1" sheetId="1" r:id="rId1"/>
    <sheet name="NetPeakAreas" sheetId="10" r:id="rId2"/>
    <sheet name="NLS" sheetId="6" r:id="rId3"/>
    <sheet name="Temporary" sheetId="4" state="hidden" r:id="rId4"/>
    <sheet name="Nuclide Library" sheetId="3" state="hidden" r:id="rId5"/>
    <sheet name="Sheet2" sheetId="2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1" i="1" l="1"/>
  <c r="F88" i="10" l="1"/>
  <c r="F87" i="10"/>
  <c r="X21" i="10" l="1"/>
  <c r="R25" i="10"/>
  <c r="X25" i="10"/>
  <c r="U25" i="10"/>
  <c r="F30" i="10"/>
  <c r="O26" i="10"/>
  <c r="R26" i="10"/>
  <c r="U26" i="10"/>
  <c r="X26" i="10"/>
  <c r="X23" i="10"/>
  <c r="U23" i="10"/>
  <c r="R23" i="10"/>
  <c r="O23" i="10"/>
</calcChain>
</file>

<file path=xl/sharedStrings.xml><?xml version="1.0" encoding="utf-8"?>
<sst xmlns="http://schemas.openxmlformats.org/spreadsheetml/2006/main" count="2462" uniqueCount="94">
  <si>
    <t>Selected Nuclides For Data Export</t>
  </si>
  <si>
    <t>Pb-210</t>
  </si>
  <si>
    <t>Cs-137</t>
  </si>
  <si>
    <t>Co-60</t>
  </si>
  <si>
    <t>Energy (keV)</t>
  </si>
  <si>
    <t>Insert report file path in cell A2 or Browse using the button to the right</t>
  </si>
  <si>
    <t>Am-241</t>
  </si>
  <si>
    <t>Ac-228</t>
  </si>
  <si>
    <t>Cs-134</t>
  </si>
  <si>
    <t>Cs-134_2</t>
  </si>
  <si>
    <t>Mn-54</t>
  </si>
  <si>
    <t>Y-88</t>
  </si>
  <si>
    <t>Y-88_2</t>
  </si>
  <si>
    <t>Ba-133</t>
  </si>
  <si>
    <t>Co-60_2</t>
  </si>
  <si>
    <t>Cd-109</t>
  </si>
  <si>
    <t>Pb-212</t>
  </si>
  <si>
    <t>Bi-212</t>
  </si>
  <si>
    <t>K-40</t>
  </si>
  <si>
    <t>Bi-214</t>
  </si>
  <si>
    <t>Pb-214</t>
  </si>
  <si>
    <t>Pb-214_2</t>
  </si>
  <si>
    <t>Pb-214_3</t>
  </si>
  <si>
    <t>46.54 keV</t>
  </si>
  <si>
    <t>1460.822 keV</t>
  </si>
  <si>
    <t>Acquisition Date</t>
  </si>
  <si>
    <t>±</t>
  </si>
  <si>
    <t>mass (kg)</t>
  </si>
  <si>
    <t>LiveTime (days)</t>
  </si>
  <si>
    <t>Detector</t>
  </si>
  <si>
    <t>Sample ID</t>
  </si>
  <si>
    <t>Efficiency ID</t>
  </si>
  <si>
    <t>TOC Activity (Bq/kg)</t>
  </si>
  <si>
    <t>Decay Corrected Activity (Bq/kg)</t>
  </si>
  <si>
    <t>Uncertainty (Bq/kg)</t>
  </si>
  <si>
    <t>MDA (Bq/kg)</t>
  </si>
  <si>
    <t>661.657 keV</t>
  </si>
  <si>
    <t xml:space="preserve">Helene   UNSUP                           </t>
  </si>
  <si>
    <t>911.2 keV</t>
  </si>
  <si>
    <t>238.632 keV</t>
  </si>
  <si>
    <t>727.33 keV</t>
  </si>
  <si>
    <t>609.312 keV</t>
  </si>
  <si>
    <t>351.932 keV</t>
  </si>
  <si>
    <t>241.997 keV</t>
  </si>
  <si>
    <t>Ra-226</t>
  </si>
  <si>
    <t>186.211 keV</t>
  </si>
  <si>
    <t xml:space="preserve">Marie   MARIE-U                         </t>
  </si>
  <si>
    <t>Th-234</t>
  </si>
  <si>
    <t>63.3 keV</t>
  </si>
  <si>
    <t xml:space="preserve"> 22RGUThK-MP            </t>
  </si>
  <si>
    <t xml:space="preserve"> 20201109UThKCsPH       </t>
  </si>
  <si>
    <t>Y612</t>
  </si>
  <si>
    <t>IAEA-327</t>
  </si>
  <si>
    <t>Net Peak Area (Cts)</t>
  </si>
  <si>
    <t>Net Peak Area Uncertainty (Cts)</t>
  </si>
  <si>
    <t>Net Peak Count Rate (Cts/s)</t>
  </si>
  <si>
    <t>Petri+RaPS</t>
  </si>
  <si>
    <t>RGTh-1+RaPS</t>
  </si>
  <si>
    <t>RGK</t>
  </si>
  <si>
    <t>RGTh</t>
  </si>
  <si>
    <t>RGK+RaPS</t>
  </si>
  <si>
    <t>RGU</t>
  </si>
  <si>
    <t>RGU+RaPS</t>
  </si>
  <si>
    <t>Bi-214_2</t>
  </si>
  <si>
    <t>1120.287 keV</t>
  </si>
  <si>
    <t>Bi-214_3</t>
  </si>
  <si>
    <t>1764.5 keV</t>
  </si>
  <si>
    <t>IAEA-300</t>
  </si>
  <si>
    <t>IAEA-300+RaPS</t>
  </si>
  <si>
    <t>IAEA-327+RaPS</t>
  </si>
  <si>
    <t>RaPS</t>
  </si>
  <si>
    <t>RGTh+RaPS</t>
  </si>
  <si>
    <t>Y612+RaPS</t>
  </si>
  <si>
    <t>795.86 keV</t>
  </si>
  <si>
    <t>Y873</t>
  </si>
  <si>
    <t xml:space="preserve"> AmyWaterLSCMarie       </t>
  </si>
  <si>
    <t>Y871</t>
  </si>
  <si>
    <t>Y872</t>
  </si>
  <si>
    <t>Y874</t>
  </si>
  <si>
    <t>Y875</t>
  </si>
  <si>
    <t>Y203</t>
  </si>
  <si>
    <t xml:space="preserve"> 21-5 RG LNX LMu        </t>
  </si>
  <si>
    <t xml:space="preserve"> Y203dens1.4            </t>
  </si>
  <si>
    <t xml:space="preserve"> dirt1dens1.4           </t>
  </si>
  <si>
    <t xml:space="preserve"> SoilLSOCs-capLM        </t>
  </si>
  <si>
    <t xml:space="preserve"> drydirt2dens1.4        </t>
  </si>
  <si>
    <t xml:space="preserve"> dirt3dens1.4           </t>
  </si>
  <si>
    <t xml:space="preserve"> dirt4dens1.4           </t>
  </si>
  <si>
    <t xml:space="preserve"> drydirtdens1.4         </t>
  </si>
  <si>
    <t xml:space="preserve"> labdirt1dens1.4        </t>
  </si>
  <si>
    <t>P:\carob\llr\Laboratory\Gamma_Spec\Gamma Spec Raw Data\Detectors\Marie\MARIE\Development\Sediment correction factors\U752</t>
  </si>
  <si>
    <t>U752</t>
  </si>
  <si>
    <t xml:space="preserve">Marie   LYNX                            </t>
  </si>
  <si>
    <t>density to be used for U752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</si>
</sst>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2" borderId="0" xfId="0" applyFill="1" applyBorder="1"/>
    <xf numFmtId="0" fontId="3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/>
    </xf>
    <xf numFmtId="1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11" fontId="0" fillId="0" borderId="8" xfId="0" applyNumberFormat="1" applyBorder="1"/>
    <xf numFmtId="11" fontId="0" fillId="0" borderId="9" xfId="0" applyNumberFormat="1" applyBorder="1"/>
    <xf numFmtId="11" fontId="0" fillId="0" borderId="2" xfId="0" applyNumberFormat="1" applyBorder="1"/>
    <xf numFmtId="11" fontId="0" fillId="0" borderId="6" xfId="0" applyNumberFormat="1" applyBorder="1"/>
    <xf numFmtId="14" fontId="0" fillId="0" borderId="3" xfId="0" applyNumberFormat="1" applyBorder="1"/>
    <xf numFmtId="14" fontId="0" fillId="0" borderId="5" xfId="0" applyNumberFormat="1" applyBorder="1"/>
    <xf numFmtId="11" fontId="0" fillId="0" borderId="1" xfId="0" applyNumberFormat="1" applyBorder="1"/>
    <xf numFmtId="11" fontId="0" fillId="0" borderId="4" xfId="0" applyNumberFormat="1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3" borderId="0" xfId="0" applyFill="1"/>
    <xf numFmtId="14" fontId="0" fillId="3" borderId="0" xfId="0" applyNumberFormat="1" applyFill="1"/>
    <xf numFmtId="11" fontId="0" fillId="3" borderId="0" xfId="0" applyNumberFormat="1" applyFill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1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800100</xdr:colOff>
          <xdr:row>0</xdr:row>
          <xdr:rowOff>44450</xdr:rowOff>
        </xdr:from>
        <xdr:to>
          <xdr:col>10</xdr:col>
          <xdr:colOff>717550</xdr:colOff>
          <xdr:row>0</xdr:row>
          <xdr:rowOff>311150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For Report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69850</xdr:colOff>
          <xdr:row>2</xdr:row>
          <xdr:rowOff>63500</xdr:rowOff>
        </xdr:from>
        <xdr:to>
          <xdr:col>8</xdr:col>
          <xdr:colOff>762000</xdr:colOff>
          <xdr:row>4</xdr:row>
          <xdr:rowOff>114300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Nuclides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2</xdr:row>
          <xdr:rowOff>82550</xdr:rowOff>
        </xdr:from>
        <xdr:to>
          <xdr:col>4</xdr:col>
          <xdr:colOff>482600</xdr:colOff>
          <xdr:row>5</xdr:row>
          <xdr:rowOff>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0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749300</xdr:colOff>
          <xdr:row>3</xdr:row>
          <xdr:rowOff>152400</xdr:rowOff>
        </xdr:from>
        <xdr:to>
          <xdr:col>6</xdr:col>
          <xdr:colOff>438150</xdr:colOff>
          <xdr:row>6</xdr:row>
          <xdr:rowOff>12700</xdr:rowOff>
        </xdr:to>
        <xdr:sp macro="" textlink="">
          <xdr:nvSpPr>
            <xdr:cNvPr id="3078" name="CheckBox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1384300</xdr:colOff>
          <xdr:row>2</xdr:row>
          <xdr:rowOff>127000</xdr:rowOff>
        </xdr:from>
        <xdr:to>
          <xdr:col>10</xdr:col>
          <xdr:colOff>1181100</xdr:colOff>
          <xdr:row>4</xdr:row>
          <xdr:rowOff>6350</xdr:rowOff>
        </xdr:to>
        <xdr:sp macro="" textlink="">
          <xdr:nvSpPr>
            <xdr:cNvPr id="3080" name="GenieDataShiftColumnCheckBox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1390650</xdr:colOff>
          <xdr:row>4</xdr:row>
          <xdr:rowOff>50800</xdr:rowOff>
        </xdr:from>
        <xdr:to>
          <xdr:col>11</xdr:col>
          <xdr:colOff>38100</xdr:colOff>
          <xdr:row>6</xdr:row>
          <xdr:rowOff>19050</xdr:rowOff>
        </xdr:to>
        <xdr:sp macro="" textlink="">
          <xdr:nvSpPr>
            <xdr:cNvPr id="3081" name="ReadNetPeakAreaChkBox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</xdr:row>
          <xdr:rowOff>31750</xdr:rowOff>
        </xdr:from>
        <xdr:to>
          <xdr:col>6</xdr:col>
          <xdr:colOff>0</xdr:colOff>
          <xdr:row>3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184150</xdr:rowOff>
        </xdr:from>
        <xdr:to>
          <xdr:col>2</xdr:col>
          <xdr:colOff>457200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Pb-210      45.54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6350</xdr:rowOff>
        </xdr:from>
        <xdr:to>
          <xdr:col>2</xdr:col>
          <xdr:colOff>482600</xdr:colOff>
          <xdr:row>4</xdr:row>
          <xdr:rowOff>31750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A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Am-241     54.54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184150</xdr:rowOff>
        </xdr:from>
        <xdr:to>
          <xdr:col>2</xdr:col>
          <xdr:colOff>463550</xdr:colOff>
          <xdr:row>5</xdr:row>
          <xdr:rowOff>38100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A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Cs-137      661.657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184150</xdr:rowOff>
        </xdr:from>
        <xdr:to>
          <xdr:col>2</xdr:col>
          <xdr:colOff>457200</xdr:colOff>
          <xdr:row>7</xdr:row>
          <xdr:rowOff>25400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A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Cs-134      604.72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25400</xdr:rowOff>
        </xdr:from>
        <xdr:to>
          <xdr:col>2</xdr:col>
          <xdr:colOff>463550</xdr:colOff>
          <xdr:row>8</xdr:row>
          <xdr:rowOff>25400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A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Cs-134      795.86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12</xdr:row>
          <xdr:rowOff>184150</xdr:rowOff>
        </xdr:from>
        <xdr:to>
          <xdr:col>2</xdr:col>
          <xdr:colOff>444500</xdr:colOff>
          <xdr:row>14</xdr:row>
          <xdr:rowOff>25400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A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Cd-109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0</xdr:rowOff>
        </xdr:from>
        <xdr:to>
          <xdr:col>2</xdr:col>
          <xdr:colOff>457200</xdr:colOff>
          <xdr:row>9</xdr:row>
          <xdr:rowOff>6350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A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Mn-54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190500</xdr:rowOff>
        </xdr:from>
        <xdr:to>
          <xdr:col>2</xdr:col>
          <xdr:colOff>457200</xdr:colOff>
          <xdr:row>10</xdr:row>
          <xdr:rowOff>6350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A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Y-88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184150</xdr:rowOff>
        </xdr:from>
        <xdr:to>
          <xdr:col>2</xdr:col>
          <xdr:colOff>444500</xdr:colOff>
          <xdr:row>11</xdr:row>
          <xdr:rowOff>6350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A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Ba-133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12</xdr:row>
          <xdr:rowOff>25400</xdr:rowOff>
        </xdr:from>
        <xdr:to>
          <xdr:col>2</xdr:col>
          <xdr:colOff>444500</xdr:colOff>
          <xdr:row>13</xdr:row>
          <xdr:rowOff>25400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A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Co-60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184150</xdr:rowOff>
        </xdr:from>
        <xdr:to>
          <xdr:col>2</xdr:col>
          <xdr:colOff>450850</xdr:colOff>
          <xdr:row>6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A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Ac-228      911.2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25400</xdr:rowOff>
        </xdr:from>
        <xdr:to>
          <xdr:col>2</xdr:col>
          <xdr:colOff>444500</xdr:colOff>
          <xdr:row>12</xdr:row>
          <xdr:rowOff>25400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A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Co-60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14</xdr:row>
          <xdr:rowOff>184150</xdr:rowOff>
        </xdr:from>
        <xdr:to>
          <xdr:col>2</xdr:col>
          <xdr:colOff>444500</xdr:colOff>
          <xdr:row>16</xdr:row>
          <xdr:rowOff>25400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A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Bi-212     727.33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184150</xdr:rowOff>
        </xdr:from>
        <xdr:to>
          <xdr:col>2</xdr:col>
          <xdr:colOff>444500</xdr:colOff>
          <xdr:row>18</xdr:row>
          <xdr:rowOff>25400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A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Bi-214     609.31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13</xdr:row>
          <xdr:rowOff>184150</xdr:rowOff>
        </xdr:from>
        <xdr:to>
          <xdr:col>2</xdr:col>
          <xdr:colOff>444500</xdr:colOff>
          <xdr:row>15</xdr:row>
          <xdr:rowOff>25400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A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Pb-212     238.63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15</xdr:row>
          <xdr:rowOff>184150</xdr:rowOff>
        </xdr:from>
        <xdr:to>
          <xdr:col>2</xdr:col>
          <xdr:colOff>444500</xdr:colOff>
          <xdr:row>17</xdr:row>
          <xdr:rowOff>25400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K-40       1460.82 keV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81"/>
  <sheetViews>
    <sheetView tabSelected="1" topLeftCell="B64" zoomScale="93" zoomScaleNormal="93" workbookViewId="0">
      <selection activeCell="C71" sqref="C71"/>
    </sheetView>
  </sheetViews>
  <sheetFormatPr defaultColWidth="13.54296875" defaultRowHeight="14.5" x14ac:dyDescent="0.35"/>
  <cols>
    <col min="2" max="2" width="17.26953125" customWidth="1"/>
    <col min="3" max="3" width="16.26953125" customWidth="1"/>
    <col min="4" max="4" width="20.36328125" customWidth="1"/>
    <col min="5" max="5" width="15" bestFit="1" customWidth="1"/>
    <col min="6" max="6" width="15.6328125" bestFit="1" customWidth="1"/>
    <col min="7" max="7" width="15" bestFit="1" customWidth="1"/>
    <col min="8" max="8" width="17.453125" bestFit="1" customWidth="1"/>
    <col min="9" max="9" width="17.36328125" customWidth="1"/>
    <col min="10" max="10" width="8.54296875" bestFit="1" customWidth="1"/>
    <col min="11" max="11" width="17.1796875" bestFit="1" customWidth="1"/>
    <col min="12" max="12" width="15.36328125" bestFit="1" customWidth="1"/>
    <col min="13" max="13" width="10.90625" customWidth="1"/>
    <col min="14" max="14" width="30.6328125" bestFit="1" customWidth="1"/>
    <col min="15" max="15" width="10.1796875" customWidth="1"/>
    <col min="16" max="16" width="17.1796875" bestFit="1" customWidth="1"/>
    <col min="17" max="17" width="19.453125" bestFit="1" customWidth="1"/>
    <col min="19" max="19" width="29.90625" bestFit="1" customWidth="1"/>
    <col min="20" max="20" width="3" customWidth="1"/>
    <col min="22" max="22" width="15.36328125" bestFit="1" customWidth="1"/>
    <col min="23" max="23" width="8.6328125" customWidth="1"/>
    <col min="24" max="24" width="29.90625" bestFit="1" customWidth="1"/>
    <col min="28" max="28" width="10.36328125" customWidth="1"/>
    <col min="29" max="29" width="30.6328125" bestFit="1" customWidth="1"/>
    <col min="30" max="30" width="3" customWidth="1"/>
    <col min="31" max="31" width="18.54296875" bestFit="1" customWidth="1"/>
    <col min="33" max="33" width="9.08984375" customWidth="1"/>
    <col min="34" max="34" width="30.6328125" bestFit="1" customWidth="1"/>
    <col min="35" max="35" width="2.453125" customWidth="1"/>
    <col min="36" max="36" width="18.54296875" bestFit="1" customWidth="1"/>
    <col min="38" max="38" width="9.81640625" customWidth="1"/>
    <col min="39" max="39" width="30.6328125" bestFit="1" customWidth="1"/>
    <col min="40" max="40" width="2.453125" customWidth="1"/>
    <col min="41" max="41" width="18.54296875" bestFit="1" customWidth="1"/>
    <col min="54" max="54" width="30.6328125" bestFit="1" customWidth="1"/>
    <col min="55" max="55" width="2.08984375" customWidth="1"/>
    <col min="56" max="56" width="18.54296875" bestFit="1" customWidth="1"/>
    <col min="59" max="59" width="30.6328125" bestFit="1" customWidth="1"/>
    <col min="60" max="60" width="2.08984375" customWidth="1"/>
    <col min="61" max="61" width="18.54296875" bestFit="1" customWidth="1"/>
    <col min="199" max="199" width="15.6328125" bestFit="1" customWidth="1"/>
  </cols>
  <sheetData>
    <row r="1" spans="1:56" ht="26.25" customHeight="1" x14ac:dyDescent="0.45">
      <c r="A1" s="4" t="s">
        <v>5</v>
      </c>
      <c r="B1" s="4"/>
      <c r="C1" s="5"/>
      <c r="D1" s="5"/>
      <c r="E1" s="5"/>
      <c r="F1" s="5"/>
      <c r="G1" s="30"/>
      <c r="H1" s="30"/>
      <c r="I1" s="30"/>
      <c r="J1" s="30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</row>
    <row r="2" spans="1:56" ht="19.5" customHeight="1" x14ac:dyDescent="0.35">
      <c r="A2" s="7" t="s">
        <v>90</v>
      </c>
      <c r="B2" s="7"/>
      <c r="C2" s="6"/>
      <c r="D2" s="6"/>
      <c r="E2" s="6"/>
      <c r="F2" s="6"/>
      <c r="G2" s="32"/>
      <c r="H2" s="31"/>
      <c r="I2" s="31"/>
      <c r="J2" s="31"/>
      <c r="K2" s="32"/>
      <c r="L2" s="32"/>
      <c r="M2" s="31"/>
      <c r="N2" s="31"/>
      <c r="O2" s="32"/>
      <c r="P2" s="32"/>
      <c r="Q2" s="32"/>
      <c r="R2" s="31"/>
      <c r="S2" s="31"/>
      <c r="T2" s="32"/>
      <c r="U2" s="32"/>
      <c r="V2" s="32"/>
      <c r="W2" s="31"/>
      <c r="X2" s="31"/>
      <c r="Y2" s="32"/>
      <c r="Z2" s="32"/>
      <c r="AA2" s="32"/>
      <c r="AB2" s="31"/>
      <c r="AC2" s="31"/>
      <c r="AD2" s="32"/>
      <c r="AE2" s="32"/>
      <c r="AF2" s="32"/>
      <c r="AG2" s="31"/>
      <c r="AH2" s="31"/>
      <c r="AI2" s="32"/>
      <c r="AJ2" s="32"/>
      <c r="AK2" s="32"/>
      <c r="AL2" s="31"/>
      <c r="AM2" s="31"/>
      <c r="AN2" s="32"/>
      <c r="AO2" s="32"/>
      <c r="AP2" s="32"/>
      <c r="AQ2" s="31"/>
      <c r="AR2" s="31"/>
      <c r="AS2" s="32"/>
      <c r="AT2" s="32"/>
    </row>
    <row r="3" spans="1:56" x14ac:dyDescent="0.3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Q3" s="8"/>
      <c r="T3" s="1"/>
    </row>
    <row r="7" spans="1:56" ht="15" thickBot="1" x14ac:dyDescent="0.4"/>
    <row r="8" spans="1:56" ht="15" thickBot="1" x14ac:dyDescent="0.4">
      <c r="G8" s="13" t="s">
        <v>18</v>
      </c>
      <c r="H8" s="9" t="s">
        <v>24</v>
      </c>
      <c r="I8" s="9"/>
      <c r="J8" s="9"/>
      <c r="K8" s="9"/>
      <c r="L8" s="13" t="s">
        <v>1</v>
      </c>
      <c r="M8" s="9" t="s">
        <v>23</v>
      </c>
      <c r="N8" s="9"/>
      <c r="O8" s="9"/>
      <c r="P8" s="9"/>
      <c r="Q8" s="13" t="s">
        <v>2</v>
      </c>
      <c r="R8" s="9" t="s">
        <v>36</v>
      </c>
      <c r="S8" s="9"/>
      <c r="T8" s="9"/>
      <c r="U8" s="9"/>
      <c r="V8" s="13" t="s">
        <v>7</v>
      </c>
      <c r="W8" s="9" t="s">
        <v>38</v>
      </c>
      <c r="X8" s="9"/>
      <c r="Y8" s="9"/>
      <c r="Z8" s="9"/>
      <c r="AA8" s="13" t="s">
        <v>9</v>
      </c>
      <c r="AB8" s="9" t="s">
        <v>73</v>
      </c>
      <c r="AC8" s="9"/>
      <c r="AD8" s="9"/>
      <c r="AE8" s="9"/>
      <c r="AF8" s="13" t="s">
        <v>16</v>
      </c>
      <c r="AG8" s="9" t="s">
        <v>39</v>
      </c>
      <c r="AH8" s="9"/>
      <c r="AI8" s="9"/>
      <c r="AJ8" s="9"/>
      <c r="AK8" s="13" t="s">
        <v>17</v>
      </c>
      <c r="AL8" s="9" t="s">
        <v>40</v>
      </c>
      <c r="AM8" s="9"/>
      <c r="AN8" s="9"/>
      <c r="AO8" s="9"/>
      <c r="AP8" s="13" t="s">
        <v>19</v>
      </c>
      <c r="AQ8" s="9" t="s">
        <v>41</v>
      </c>
      <c r="AR8" s="9"/>
      <c r="AS8" s="9"/>
      <c r="AT8" s="9"/>
      <c r="AU8" s="13" t="s">
        <v>21</v>
      </c>
      <c r="AV8" s="9" t="s">
        <v>42</v>
      </c>
      <c r="AW8" s="9"/>
      <c r="AX8" s="9"/>
      <c r="AY8" s="9"/>
      <c r="AZ8" s="13" t="s">
        <v>22</v>
      </c>
      <c r="BA8" s="9" t="s">
        <v>43</v>
      </c>
      <c r="BB8" s="9"/>
      <c r="BC8" s="9"/>
      <c r="BD8" s="12"/>
    </row>
    <row r="9" spans="1:56" ht="15" thickBot="1" x14ac:dyDescent="0.4">
      <c r="A9" s="13" t="s">
        <v>30</v>
      </c>
      <c r="B9" s="13" t="s">
        <v>29</v>
      </c>
      <c r="C9" s="13" t="s">
        <v>31</v>
      </c>
      <c r="D9" s="13" t="s">
        <v>27</v>
      </c>
      <c r="E9" s="13" t="s">
        <v>25</v>
      </c>
      <c r="F9" s="13" t="s">
        <v>28</v>
      </c>
      <c r="G9" s="11" t="s">
        <v>32</v>
      </c>
      <c r="H9" s="10" t="s">
        <v>33</v>
      </c>
      <c r="I9" s="10"/>
      <c r="J9" s="10" t="s">
        <v>34</v>
      </c>
      <c r="K9" s="10" t="s">
        <v>35</v>
      </c>
      <c r="L9" s="11" t="s">
        <v>32</v>
      </c>
      <c r="M9" s="10" t="s">
        <v>33</v>
      </c>
      <c r="N9" s="10"/>
      <c r="O9" s="10" t="s">
        <v>34</v>
      </c>
      <c r="P9" s="10" t="s">
        <v>35</v>
      </c>
      <c r="Q9" s="11" t="s">
        <v>32</v>
      </c>
      <c r="R9" s="10" t="s">
        <v>33</v>
      </c>
      <c r="S9" s="10"/>
      <c r="T9" s="10" t="s">
        <v>34</v>
      </c>
      <c r="U9" s="10" t="s">
        <v>35</v>
      </c>
      <c r="V9" s="11" t="s">
        <v>32</v>
      </c>
      <c r="W9" s="10" t="s">
        <v>33</v>
      </c>
      <c r="X9" s="10"/>
      <c r="Y9" s="10" t="s">
        <v>34</v>
      </c>
      <c r="Z9" s="10" t="s">
        <v>35</v>
      </c>
      <c r="AA9" s="11" t="s">
        <v>32</v>
      </c>
      <c r="AB9" s="10" t="s">
        <v>33</v>
      </c>
      <c r="AC9" s="10"/>
      <c r="AD9" s="10" t="s">
        <v>34</v>
      </c>
      <c r="AE9" s="10" t="s">
        <v>35</v>
      </c>
      <c r="AF9" s="11" t="s">
        <v>32</v>
      </c>
      <c r="AG9" s="10" t="s">
        <v>33</v>
      </c>
      <c r="AH9" s="10"/>
      <c r="AI9" s="10" t="s">
        <v>34</v>
      </c>
      <c r="AJ9" s="10" t="s">
        <v>35</v>
      </c>
      <c r="AK9" s="11" t="s">
        <v>32</v>
      </c>
      <c r="AL9" s="10" t="s">
        <v>33</v>
      </c>
      <c r="AM9" s="10"/>
      <c r="AN9" s="10" t="s">
        <v>34</v>
      </c>
      <c r="AO9" s="10" t="s">
        <v>35</v>
      </c>
      <c r="AP9" s="11" t="s">
        <v>32</v>
      </c>
      <c r="AQ9" s="10" t="s">
        <v>33</v>
      </c>
      <c r="AR9" s="10"/>
      <c r="AS9" s="10" t="s">
        <v>34</v>
      </c>
      <c r="AT9" s="10" t="s">
        <v>35</v>
      </c>
      <c r="AU9" s="11" t="s">
        <v>32</v>
      </c>
      <c r="AV9" s="10" t="s">
        <v>33</v>
      </c>
      <c r="AW9" s="10"/>
      <c r="AX9" s="10" t="s">
        <v>34</v>
      </c>
      <c r="AY9" s="10" t="s">
        <v>35</v>
      </c>
      <c r="AZ9" s="11" t="s">
        <v>32</v>
      </c>
      <c r="BA9" s="10" t="s">
        <v>33</v>
      </c>
      <c r="BB9" s="10"/>
      <c r="BC9" s="10" t="s">
        <v>34</v>
      </c>
      <c r="BD9" s="24" t="s">
        <v>35</v>
      </c>
    </row>
    <row r="10" spans="1:56" ht="15" thickBot="1" x14ac:dyDescent="0.4">
      <c r="A10" s="10" t="s">
        <v>74</v>
      </c>
      <c r="B10" s="11" t="s">
        <v>46</v>
      </c>
      <c r="C10" s="11" t="s">
        <v>75</v>
      </c>
      <c r="D10" s="11">
        <v>3.1782999999999998E-3</v>
      </c>
      <c r="E10" s="20">
        <v>45033</v>
      </c>
      <c r="F10" s="11">
        <v>1.9725694444444446</v>
      </c>
      <c r="G10" s="14"/>
      <c r="H10" s="16">
        <v>0.94105000000000005</v>
      </c>
      <c r="I10" s="15" t="s">
        <v>26</v>
      </c>
      <c r="J10" s="16">
        <v>2.7454000000000001</v>
      </c>
      <c r="K10" s="16">
        <v>12.8192</v>
      </c>
      <c r="L10" s="14"/>
      <c r="M10" s="16">
        <v>3.3460999999999999</v>
      </c>
      <c r="N10" s="15" t="s">
        <v>26</v>
      </c>
      <c r="O10" s="16">
        <v>1.238</v>
      </c>
      <c r="P10" s="16">
        <v>6.2232399999999997</v>
      </c>
      <c r="Q10" s="14"/>
      <c r="R10" s="15"/>
      <c r="S10" s="15" t="s">
        <v>26</v>
      </c>
      <c r="T10" s="15"/>
      <c r="U10" s="16">
        <v>1.84294</v>
      </c>
      <c r="V10" s="14"/>
      <c r="W10" s="16">
        <v>1.1171</v>
      </c>
      <c r="X10" s="15" t="s">
        <v>26</v>
      </c>
      <c r="Y10" s="16">
        <v>1.0132000000000001</v>
      </c>
      <c r="Z10" s="16">
        <v>4.6887499999999998</v>
      </c>
      <c r="AA10" s="14"/>
      <c r="AB10" s="15"/>
      <c r="AC10" s="15" t="s">
        <v>26</v>
      </c>
      <c r="AD10" s="15"/>
      <c r="AE10" s="16">
        <v>2.0777399999999999</v>
      </c>
      <c r="AF10" s="14"/>
      <c r="AG10" s="16">
        <v>7.6395000000000005E-2</v>
      </c>
      <c r="AH10" s="15" t="s">
        <v>26</v>
      </c>
      <c r="AI10" s="16">
        <v>0.82974000000000003</v>
      </c>
      <c r="AJ10" s="16">
        <v>1.6367499999999999</v>
      </c>
      <c r="AK10" s="14"/>
      <c r="AL10" s="15"/>
      <c r="AM10" s="15" t="s">
        <v>26</v>
      </c>
      <c r="AN10" s="15"/>
      <c r="AO10" s="16">
        <v>25.079699999999999</v>
      </c>
      <c r="AP10" s="14"/>
      <c r="AQ10" s="16">
        <v>1.8695999999999999</v>
      </c>
      <c r="AR10" s="15" t="s">
        <v>26</v>
      </c>
      <c r="AS10" s="16">
        <v>2.2612000000000001</v>
      </c>
      <c r="AT10" s="16">
        <v>3.8336100000000002</v>
      </c>
      <c r="AU10" s="14"/>
      <c r="AV10" s="16">
        <v>2.8290999999999999</v>
      </c>
      <c r="AW10" s="15" t="s">
        <v>26</v>
      </c>
      <c r="AX10" s="16">
        <v>0.86284000000000005</v>
      </c>
      <c r="AY10" s="16">
        <v>3.5274700000000001</v>
      </c>
      <c r="AZ10" s="14"/>
      <c r="BA10" s="16">
        <v>7.0175999999999998</v>
      </c>
      <c r="BB10" s="15" t="s">
        <v>26</v>
      </c>
      <c r="BC10" s="16">
        <v>3.6269</v>
      </c>
      <c r="BD10" s="17">
        <v>9.3145299999999995</v>
      </c>
    </row>
    <row r="11" spans="1:56" ht="15" thickBot="1" x14ac:dyDescent="0.4"/>
    <row r="12" spans="1:56" ht="15" thickBot="1" x14ac:dyDescent="0.4">
      <c r="G12" s="13" t="s">
        <v>18</v>
      </c>
      <c r="H12" s="9" t="s">
        <v>24</v>
      </c>
      <c r="I12" s="9"/>
      <c r="J12" s="9"/>
      <c r="K12" s="9"/>
      <c r="L12" s="13" t="s">
        <v>1</v>
      </c>
      <c r="M12" s="9" t="s">
        <v>23</v>
      </c>
      <c r="N12" s="9"/>
      <c r="O12" s="9"/>
      <c r="P12" s="9"/>
      <c r="Q12" s="13" t="s">
        <v>2</v>
      </c>
      <c r="R12" s="9" t="s">
        <v>36</v>
      </c>
      <c r="S12" s="9"/>
      <c r="T12" s="9"/>
      <c r="U12" s="9"/>
      <c r="V12" s="13" t="s">
        <v>7</v>
      </c>
      <c r="W12" s="9" t="s">
        <v>38</v>
      </c>
      <c r="X12" s="9"/>
      <c r="Y12" s="9"/>
      <c r="Z12" s="9"/>
      <c r="AA12" s="13" t="s">
        <v>9</v>
      </c>
      <c r="AB12" s="9" t="s">
        <v>73</v>
      </c>
      <c r="AC12" s="9"/>
      <c r="AD12" s="9"/>
      <c r="AE12" s="9"/>
      <c r="AF12" s="13" t="s">
        <v>16</v>
      </c>
      <c r="AG12" s="9" t="s">
        <v>39</v>
      </c>
      <c r="AH12" s="9"/>
      <c r="AI12" s="9"/>
      <c r="AJ12" s="9"/>
      <c r="AK12" s="13" t="s">
        <v>17</v>
      </c>
      <c r="AL12" s="9" t="s">
        <v>40</v>
      </c>
      <c r="AM12" s="9"/>
      <c r="AN12" s="9"/>
      <c r="AO12" s="9"/>
      <c r="AP12" s="13" t="s">
        <v>19</v>
      </c>
      <c r="AQ12" s="9" t="s">
        <v>41</v>
      </c>
      <c r="AR12" s="9"/>
      <c r="AS12" s="9"/>
      <c r="AT12" s="9"/>
      <c r="AU12" s="13" t="s">
        <v>21</v>
      </c>
      <c r="AV12" s="9" t="s">
        <v>42</v>
      </c>
      <c r="AW12" s="9"/>
      <c r="AX12" s="9"/>
      <c r="AY12" s="9"/>
      <c r="AZ12" s="13" t="s">
        <v>22</v>
      </c>
      <c r="BA12" s="9" t="s">
        <v>43</v>
      </c>
      <c r="BB12" s="9"/>
      <c r="BC12" s="9"/>
      <c r="BD12" s="12"/>
    </row>
    <row r="13" spans="1:56" ht="15" thickBot="1" x14ac:dyDescent="0.4">
      <c r="A13" s="13" t="s">
        <v>30</v>
      </c>
      <c r="B13" s="13" t="s">
        <v>29</v>
      </c>
      <c r="C13" s="13" t="s">
        <v>31</v>
      </c>
      <c r="D13" s="13" t="s">
        <v>27</v>
      </c>
      <c r="E13" s="13" t="s">
        <v>25</v>
      </c>
      <c r="F13" s="13" t="s">
        <v>28</v>
      </c>
      <c r="G13" s="11" t="s">
        <v>32</v>
      </c>
      <c r="H13" s="10" t="s">
        <v>33</v>
      </c>
      <c r="I13" s="10"/>
      <c r="J13" s="10" t="s">
        <v>34</v>
      </c>
      <c r="K13" s="10" t="s">
        <v>35</v>
      </c>
      <c r="L13" s="11" t="s">
        <v>32</v>
      </c>
      <c r="M13" s="10" t="s">
        <v>33</v>
      </c>
      <c r="N13" s="10"/>
      <c r="O13" s="10" t="s">
        <v>34</v>
      </c>
      <c r="P13" s="10" t="s">
        <v>35</v>
      </c>
      <c r="Q13" s="11" t="s">
        <v>32</v>
      </c>
      <c r="R13" s="10" t="s">
        <v>33</v>
      </c>
      <c r="S13" s="10"/>
      <c r="T13" s="10" t="s">
        <v>34</v>
      </c>
      <c r="U13" s="10" t="s">
        <v>35</v>
      </c>
      <c r="V13" s="11" t="s">
        <v>32</v>
      </c>
      <c r="W13" s="10" t="s">
        <v>33</v>
      </c>
      <c r="X13" s="10"/>
      <c r="Y13" s="10" t="s">
        <v>34</v>
      </c>
      <c r="Z13" s="10" t="s">
        <v>35</v>
      </c>
      <c r="AA13" s="11" t="s">
        <v>32</v>
      </c>
      <c r="AB13" s="10" t="s">
        <v>33</v>
      </c>
      <c r="AC13" s="10"/>
      <c r="AD13" s="10" t="s">
        <v>34</v>
      </c>
      <c r="AE13" s="10" t="s">
        <v>35</v>
      </c>
      <c r="AF13" s="11" t="s">
        <v>32</v>
      </c>
      <c r="AG13" s="10" t="s">
        <v>33</v>
      </c>
      <c r="AH13" s="10"/>
      <c r="AI13" s="10" t="s">
        <v>34</v>
      </c>
      <c r="AJ13" s="10" t="s">
        <v>35</v>
      </c>
      <c r="AK13" s="11" t="s">
        <v>32</v>
      </c>
      <c r="AL13" s="10" t="s">
        <v>33</v>
      </c>
      <c r="AM13" s="10"/>
      <c r="AN13" s="10" t="s">
        <v>34</v>
      </c>
      <c r="AO13" s="10" t="s">
        <v>35</v>
      </c>
      <c r="AP13" s="11" t="s">
        <v>32</v>
      </c>
      <c r="AQ13" s="10" t="s">
        <v>33</v>
      </c>
      <c r="AR13" s="10"/>
      <c r="AS13" s="10" t="s">
        <v>34</v>
      </c>
      <c r="AT13" s="10" t="s">
        <v>35</v>
      </c>
      <c r="AU13" s="11" t="s">
        <v>32</v>
      </c>
      <c r="AV13" s="10" t="s">
        <v>33</v>
      </c>
      <c r="AW13" s="10"/>
      <c r="AX13" s="10" t="s">
        <v>34</v>
      </c>
      <c r="AY13" s="10" t="s">
        <v>35</v>
      </c>
      <c r="AZ13" s="11" t="s">
        <v>32</v>
      </c>
      <c r="BA13" s="10" t="s">
        <v>33</v>
      </c>
      <c r="BB13" s="10"/>
      <c r="BC13" s="10" t="s">
        <v>34</v>
      </c>
      <c r="BD13" s="24" t="s">
        <v>35</v>
      </c>
    </row>
    <row r="14" spans="1:56" ht="15" thickBot="1" x14ac:dyDescent="0.4">
      <c r="A14" s="10" t="s">
        <v>76</v>
      </c>
      <c r="B14" s="11" t="s">
        <v>46</v>
      </c>
      <c r="C14" s="11" t="s">
        <v>75</v>
      </c>
      <c r="D14" s="11">
        <v>3.2396999999999999E-3</v>
      </c>
      <c r="E14" s="20">
        <v>45028</v>
      </c>
      <c r="F14" s="11">
        <v>1.9652662037037034</v>
      </c>
      <c r="G14" s="14"/>
      <c r="H14" s="16">
        <v>1.4684999999999999</v>
      </c>
      <c r="I14" s="15" t="s">
        <v>26</v>
      </c>
      <c r="J14" s="16">
        <v>6.0750999999999999</v>
      </c>
      <c r="K14" s="16">
        <v>11.8043</v>
      </c>
      <c r="L14" s="14"/>
      <c r="M14" s="15"/>
      <c r="N14" s="15" t="s">
        <v>26</v>
      </c>
      <c r="O14" s="15"/>
      <c r="P14" s="16">
        <v>11.254099999999999</v>
      </c>
      <c r="Q14" s="14"/>
      <c r="R14" s="15"/>
      <c r="S14" s="15" t="s">
        <v>26</v>
      </c>
      <c r="T14" s="15"/>
      <c r="U14" s="16">
        <v>1.8401700000000001</v>
      </c>
      <c r="V14" s="14"/>
      <c r="W14" s="15"/>
      <c r="X14" s="15" t="s">
        <v>26</v>
      </c>
      <c r="Y14" s="15"/>
      <c r="Z14" s="16">
        <v>7.5845599999999997</v>
      </c>
      <c r="AA14" s="14"/>
      <c r="AB14" s="15"/>
      <c r="AC14" s="15" t="s">
        <v>26</v>
      </c>
      <c r="AD14" s="15"/>
      <c r="AE14" s="16">
        <v>1.9453100000000001</v>
      </c>
      <c r="AF14" s="14"/>
      <c r="AG14" s="16">
        <v>5.6410000000000002E-2</v>
      </c>
      <c r="AH14" s="15" t="s">
        <v>26</v>
      </c>
      <c r="AI14" s="16">
        <v>0.92895000000000005</v>
      </c>
      <c r="AJ14" s="16">
        <v>1.5812900000000001</v>
      </c>
      <c r="AK14" s="14"/>
      <c r="AL14" s="15"/>
      <c r="AM14" s="15" t="s">
        <v>26</v>
      </c>
      <c r="AN14" s="15"/>
      <c r="AO14" s="16">
        <v>25.888999999999999</v>
      </c>
      <c r="AP14" s="14"/>
      <c r="AQ14" s="16">
        <v>3.9373</v>
      </c>
      <c r="AR14" s="15" t="s">
        <v>26</v>
      </c>
      <c r="AS14" s="16">
        <v>0.90495000000000003</v>
      </c>
      <c r="AT14" s="16">
        <v>3.7225899999999998</v>
      </c>
      <c r="AU14" s="14"/>
      <c r="AV14" s="16">
        <v>4.4324000000000003</v>
      </c>
      <c r="AW14" s="15" t="s">
        <v>26</v>
      </c>
      <c r="AX14" s="16">
        <v>0.90466999999999997</v>
      </c>
      <c r="AY14" s="16">
        <v>3.5722200000000002</v>
      </c>
      <c r="AZ14" s="14"/>
      <c r="BA14" s="16">
        <v>4.8619000000000003</v>
      </c>
      <c r="BB14" s="15" t="s">
        <v>26</v>
      </c>
      <c r="BC14" s="16">
        <v>3.8077999999999999</v>
      </c>
      <c r="BD14" s="17">
        <v>9.0710599999999992</v>
      </c>
    </row>
    <row r="15" spans="1:56" ht="15" thickBot="1" x14ac:dyDescent="0.4"/>
    <row r="16" spans="1:56" ht="15" thickBot="1" x14ac:dyDescent="0.4">
      <c r="G16" s="13" t="s">
        <v>18</v>
      </c>
      <c r="H16" s="9" t="s">
        <v>24</v>
      </c>
      <c r="I16" s="9"/>
      <c r="J16" s="9"/>
      <c r="K16" s="9"/>
      <c r="L16" s="13" t="s">
        <v>1</v>
      </c>
      <c r="M16" s="9" t="s">
        <v>23</v>
      </c>
      <c r="N16" s="9"/>
      <c r="O16" s="9"/>
      <c r="P16" s="9"/>
      <c r="Q16" s="13" t="s">
        <v>2</v>
      </c>
      <c r="R16" s="9" t="s">
        <v>36</v>
      </c>
      <c r="S16" s="9"/>
      <c r="T16" s="9"/>
      <c r="U16" s="9"/>
      <c r="V16" s="13" t="s">
        <v>7</v>
      </c>
      <c r="W16" s="9" t="s">
        <v>38</v>
      </c>
      <c r="X16" s="9"/>
      <c r="Y16" s="9"/>
      <c r="Z16" s="9"/>
      <c r="AA16" s="13" t="s">
        <v>9</v>
      </c>
      <c r="AB16" s="9" t="s">
        <v>73</v>
      </c>
      <c r="AC16" s="9"/>
      <c r="AD16" s="9"/>
      <c r="AE16" s="9"/>
      <c r="AF16" s="13" t="s">
        <v>16</v>
      </c>
      <c r="AG16" s="9" t="s">
        <v>39</v>
      </c>
      <c r="AH16" s="9"/>
      <c r="AI16" s="9"/>
      <c r="AJ16" s="9"/>
      <c r="AK16" s="13" t="s">
        <v>17</v>
      </c>
      <c r="AL16" s="9" t="s">
        <v>40</v>
      </c>
      <c r="AM16" s="9"/>
      <c r="AN16" s="9"/>
      <c r="AO16" s="9"/>
      <c r="AP16" s="13" t="s">
        <v>19</v>
      </c>
      <c r="AQ16" s="9" t="s">
        <v>41</v>
      </c>
      <c r="AR16" s="9"/>
      <c r="AS16" s="9"/>
      <c r="AT16" s="9"/>
      <c r="AU16" s="13" t="s">
        <v>21</v>
      </c>
      <c r="AV16" s="9" t="s">
        <v>42</v>
      </c>
      <c r="AW16" s="9"/>
      <c r="AX16" s="9"/>
      <c r="AY16" s="9"/>
      <c r="AZ16" s="13" t="s">
        <v>22</v>
      </c>
      <c r="BA16" s="9" t="s">
        <v>43</v>
      </c>
      <c r="BB16" s="9"/>
      <c r="BC16" s="9"/>
      <c r="BD16" s="12"/>
    </row>
    <row r="17" spans="1:56" ht="15" thickBot="1" x14ac:dyDescent="0.4">
      <c r="A17" s="13" t="s">
        <v>30</v>
      </c>
      <c r="B17" s="13" t="s">
        <v>29</v>
      </c>
      <c r="C17" s="13" t="s">
        <v>31</v>
      </c>
      <c r="D17" s="13" t="s">
        <v>27</v>
      </c>
      <c r="E17" s="13" t="s">
        <v>25</v>
      </c>
      <c r="F17" s="13" t="s">
        <v>28</v>
      </c>
      <c r="G17" s="13" t="s">
        <v>32</v>
      </c>
      <c r="H17" s="9" t="s">
        <v>33</v>
      </c>
      <c r="I17" s="9"/>
      <c r="J17" s="9" t="s">
        <v>34</v>
      </c>
      <c r="K17" s="9" t="s">
        <v>35</v>
      </c>
      <c r="L17" s="13" t="s">
        <v>32</v>
      </c>
      <c r="M17" s="9" t="s">
        <v>33</v>
      </c>
      <c r="N17" s="9"/>
      <c r="O17" s="9" t="s">
        <v>34</v>
      </c>
      <c r="P17" s="9" t="s">
        <v>35</v>
      </c>
      <c r="Q17" s="13" t="s">
        <v>32</v>
      </c>
      <c r="R17" s="9" t="s">
        <v>33</v>
      </c>
      <c r="S17" s="9"/>
      <c r="T17" s="9" t="s">
        <v>34</v>
      </c>
      <c r="U17" s="9" t="s">
        <v>35</v>
      </c>
      <c r="V17" s="13" t="s">
        <v>32</v>
      </c>
      <c r="W17" s="9" t="s">
        <v>33</v>
      </c>
      <c r="X17" s="9"/>
      <c r="Y17" s="9" t="s">
        <v>34</v>
      </c>
      <c r="Z17" s="9" t="s">
        <v>35</v>
      </c>
      <c r="AA17" s="13" t="s">
        <v>32</v>
      </c>
      <c r="AB17" s="9" t="s">
        <v>33</v>
      </c>
      <c r="AC17" s="9"/>
      <c r="AD17" s="9" t="s">
        <v>34</v>
      </c>
      <c r="AE17" s="9" t="s">
        <v>35</v>
      </c>
      <c r="AF17" s="13" t="s">
        <v>32</v>
      </c>
      <c r="AG17" s="9" t="s">
        <v>33</v>
      </c>
      <c r="AH17" s="9"/>
      <c r="AI17" s="9" t="s">
        <v>34</v>
      </c>
      <c r="AJ17" s="9" t="s">
        <v>35</v>
      </c>
      <c r="AK17" s="13" t="s">
        <v>32</v>
      </c>
      <c r="AL17" s="9" t="s">
        <v>33</v>
      </c>
      <c r="AM17" s="9"/>
      <c r="AN17" s="9" t="s">
        <v>34</v>
      </c>
      <c r="AO17" s="9" t="s">
        <v>35</v>
      </c>
      <c r="AP17" s="13" t="s">
        <v>32</v>
      </c>
      <c r="AQ17" s="9" t="s">
        <v>33</v>
      </c>
      <c r="AR17" s="9"/>
      <c r="AS17" s="9" t="s">
        <v>34</v>
      </c>
      <c r="AT17" s="9" t="s">
        <v>35</v>
      </c>
      <c r="AU17" s="13" t="s">
        <v>32</v>
      </c>
      <c r="AV17" s="9" t="s">
        <v>33</v>
      </c>
      <c r="AW17" s="9"/>
      <c r="AX17" s="9" t="s">
        <v>34</v>
      </c>
      <c r="AY17" s="9" t="s">
        <v>35</v>
      </c>
      <c r="AZ17" s="13" t="s">
        <v>32</v>
      </c>
      <c r="BA17" s="9" t="s">
        <v>33</v>
      </c>
      <c r="BB17" s="9"/>
      <c r="BC17" s="9" t="s">
        <v>34</v>
      </c>
      <c r="BD17" s="12" t="s">
        <v>35</v>
      </c>
    </row>
    <row r="18" spans="1:56" ht="15" thickBot="1" x14ac:dyDescent="0.4">
      <c r="A18" s="13" t="s">
        <v>76</v>
      </c>
      <c r="B18" s="13" t="s">
        <v>46</v>
      </c>
      <c r="C18" s="13" t="s">
        <v>75</v>
      </c>
      <c r="D18" s="13">
        <v>3.2396999999999999E-3</v>
      </c>
      <c r="E18" s="21">
        <v>45028</v>
      </c>
      <c r="F18" s="13">
        <v>1.9652662037037034</v>
      </c>
      <c r="G18" s="13"/>
      <c r="H18" s="22">
        <v>1.4684999999999999</v>
      </c>
      <c r="I18" s="9" t="s">
        <v>26</v>
      </c>
      <c r="J18" s="22">
        <v>6.0750999999999999</v>
      </c>
      <c r="K18" s="22">
        <v>11.8043</v>
      </c>
      <c r="L18" s="13"/>
      <c r="M18" s="9"/>
      <c r="N18" s="9" t="s">
        <v>26</v>
      </c>
      <c r="O18" s="9"/>
      <c r="P18" s="22">
        <v>11.254099999999999</v>
      </c>
      <c r="Q18" s="13"/>
      <c r="R18" s="9"/>
      <c r="S18" s="9" t="s">
        <v>26</v>
      </c>
      <c r="T18" s="9"/>
      <c r="U18" s="22">
        <v>1.8401700000000001</v>
      </c>
      <c r="V18" s="13"/>
      <c r="W18" s="9"/>
      <c r="X18" s="9" t="s">
        <v>26</v>
      </c>
      <c r="Y18" s="9"/>
      <c r="Z18" s="22">
        <v>7.5845599999999997</v>
      </c>
      <c r="AA18" s="13"/>
      <c r="AB18" s="9"/>
      <c r="AC18" s="9" t="s">
        <v>26</v>
      </c>
      <c r="AD18" s="9"/>
      <c r="AE18" s="22">
        <v>1.9453100000000001</v>
      </c>
      <c r="AF18" s="13"/>
      <c r="AG18" s="22">
        <v>5.6410000000000002E-2</v>
      </c>
      <c r="AH18" s="9" t="s">
        <v>26</v>
      </c>
      <c r="AI18" s="22">
        <v>0.92895000000000005</v>
      </c>
      <c r="AJ18" s="22">
        <v>1.5812900000000001</v>
      </c>
      <c r="AK18" s="13"/>
      <c r="AL18" s="9"/>
      <c r="AM18" s="9" t="s">
        <v>26</v>
      </c>
      <c r="AN18" s="9"/>
      <c r="AO18" s="22">
        <v>25.888999999999999</v>
      </c>
      <c r="AP18" s="13"/>
      <c r="AQ18" s="22">
        <v>3.9373</v>
      </c>
      <c r="AR18" s="9" t="s">
        <v>26</v>
      </c>
      <c r="AS18" s="22">
        <v>0.90495000000000003</v>
      </c>
      <c r="AT18" s="22">
        <v>3.7225899999999998</v>
      </c>
      <c r="AU18" s="13"/>
      <c r="AV18" s="22">
        <v>4.4324000000000003</v>
      </c>
      <c r="AW18" s="9" t="s">
        <v>26</v>
      </c>
      <c r="AX18" s="22">
        <v>0.90466999999999997</v>
      </c>
      <c r="AY18" s="22">
        <v>3.5722200000000002</v>
      </c>
      <c r="AZ18" s="13"/>
      <c r="BA18" s="22">
        <v>4.8619000000000003</v>
      </c>
      <c r="BB18" s="9" t="s">
        <v>26</v>
      </c>
      <c r="BC18" s="22">
        <v>3.8077999999999999</v>
      </c>
      <c r="BD18" s="23">
        <v>9.0710599999999992</v>
      </c>
    </row>
    <row r="19" spans="1:56" ht="15" thickBot="1" x14ac:dyDescent="0.4">
      <c r="A19" s="13" t="s">
        <v>77</v>
      </c>
      <c r="B19" s="13" t="s">
        <v>46</v>
      </c>
      <c r="C19" s="13" t="s">
        <v>75</v>
      </c>
      <c r="D19" s="13">
        <v>3.2483999999999998E-3</v>
      </c>
      <c r="E19" s="21">
        <v>45030</v>
      </c>
      <c r="F19" s="13">
        <v>2.8625231481481488</v>
      </c>
      <c r="G19" s="11"/>
      <c r="H19" s="10"/>
      <c r="I19" s="10" t="s">
        <v>26</v>
      </c>
      <c r="J19" s="10"/>
      <c r="K19" s="18">
        <v>19.420400000000001</v>
      </c>
      <c r="L19" s="11"/>
      <c r="M19" s="18">
        <v>2.3809</v>
      </c>
      <c r="N19" s="10" t="s">
        <v>26</v>
      </c>
      <c r="O19" s="18">
        <v>1.3582000000000001</v>
      </c>
      <c r="P19" s="18">
        <v>11.087199999999999</v>
      </c>
      <c r="Q19" s="11"/>
      <c r="R19" s="10"/>
      <c r="S19" s="10" t="s">
        <v>26</v>
      </c>
      <c r="T19" s="10"/>
      <c r="U19" s="18">
        <v>1.5164299999999999</v>
      </c>
      <c r="V19" s="11"/>
      <c r="W19" s="18">
        <v>0.11119999999999999</v>
      </c>
      <c r="X19" s="10" t="s">
        <v>26</v>
      </c>
      <c r="Y19" s="18">
        <v>0.82845999999999997</v>
      </c>
      <c r="Z19" s="18">
        <v>3.6706599999999998</v>
      </c>
      <c r="AA19" s="11"/>
      <c r="AB19" s="10"/>
      <c r="AC19" s="10" t="s">
        <v>26</v>
      </c>
      <c r="AD19" s="10"/>
      <c r="AE19" s="18">
        <v>1.6356599999999999</v>
      </c>
      <c r="AF19" s="11"/>
      <c r="AG19" s="18">
        <v>0.28294000000000002</v>
      </c>
      <c r="AH19" s="10" t="s">
        <v>26</v>
      </c>
      <c r="AI19" s="18">
        <v>0.30498999999999998</v>
      </c>
      <c r="AJ19" s="18">
        <v>1.2802899999999999</v>
      </c>
      <c r="AK19" s="11"/>
      <c r="AL19" s="10"/>
      <c r="AM19" s="10" t="s">
        <v>26</v>
      </c>
      <c r="AN19" s="10"/>
      <c r="AO19" s="18">
        <v>20.615500000000001</v>
      </c>
      <c r="AP19" s="11"/>
      <c r="AQ19" s="18">
        <v>4.8715000000000002</v>
      </c>
      <c r="AR19" s="10" t="s">
        <v>26</v>
      </c>
      <c r="AS19" s="18">
        <v>0.82130000000000003</v>
      </c>
      <c r="AT19" s="18">
        <v>3.3340200000000002</v>
      </c>
      <c r="AU19" s="11"/>
      <c r="AV19" s="18">
        <v>4.1117999999999997</v>
      </c>
      <c r="AW19" s="10" t="s">
        <v>26</v>
      </c>
      <c r="AX19" s="18">
        <v>1.8318000000000001</v>
      </c>
      <c r="AY19" s="18">
        <v>3.0441099999999999</v>
      </c>
      <c r="AZ19" s="11"/>
      <c r="BA19" s="18">
        <v>5.5305999999999997</v>
      </c>
      <c r="BB19" s="10" t="s">
        <v>26</v>
      </c>
      <c r="BC19" s="18">
        <v>1.6085</v>
      </c>
      <c r="BD19" s="19">
        <v>7.43093</v>
      </c>
    </row>
    <row r="20" spans="1:56" ht="15" thickBot="1" x14ac:dyDescent="0.4">
      <c r="A20" s="10" t="s">
        <v>74</v>
      </c>
      <c r="B20" s="11" t="s">
        <v>46</v>
      </c>
      <c r="C20" s="11" t="s">
        <v>75</v>
      </c>
      <c r="D20" s="11">
        <v>3.1782999999999998E-3</v>
      </c>
      <c r="E20" s="20">
        <v>45033</v>
      </c>
      <c r="F20" s="11">
        <v>1.9725694444444446</v>
      </c>
      <c r="G20" s="14"/>
      <c r="H20" s="16">
        <v>0.94105000000000005</v>
      </c>
      <c r="I20" s="15" t="s">
        <v>26</v>
      </c>
      <c r="J20" s="16">
        <v>2.7454000000000001</v>
      </c>
      <c r="K20" s="16">
        <v>12.8192</v>
      </c>
      <c r="L20" s="14"/>
      <c r="M20" s="16">
        <v>3.3460999999999999</v>
      </c>
      <c r="N20" s="15" t="s">
        <v>26</v>
      </c>
      <c r="O20" s="16">
        <v>1.238</v>
      </c>
      <c r="P20" s="16">
        <v>6.2232399999999997</v>
      </c>
      <c r="Q20" s="14"/>
      <c r="R20" s="15"/>
      <c r="S20" s="15" t="s">
        <v>26</v>
      </c>
      <c r="T20" s="15"/>
      <c r="U20" s="16">
        <v>1.84294</v>
      </c>
      <c r="V20" s="14"/>
      <c r="W20" s="16">
        <v>1.1171</v>
      </c>
      <c r="X20" s="15" t="s">
        <v>26</v>
      </c>
      <c r="Y20" s="16">
        <v>1.0132000000000001</v>
      </c>
      <c r="Z20" s="16">
        <v>4.6887499999999998</v>
      </c>
      <c r="AA20" s="14"/>
      <c r="AB20" s="15"/>
      <c r="AC20" s="15" t="s">
        <v>26</v>
      </c>
      <c r="AD20" s="15"/>
      <c r="AE20" s="16">
        <v>2.0777399999999999</v>
      </c>
      <c r="AF20" s="14"/>
      <c r="AG20" s="16">
        <v>7.6395000000000005E-2</v>
      </c>
      <c r="AH20" s="15" t="s">
        <v>26</v>
      </c>
      <c r="AI20" s="16">
        <v>0.82974000000000003</v>
      </c>
      <c r="AJ20" s="16">
        <v>1.6367499999999999</v>
      </c>
      <c r="AK20" s="14"/>
      <c r="AL20" s="15"/>
      <c r="AM20" s="15" t="s">
        <v>26</v>
      </c>
      <c r="AN20" s="15"/>
      <c r="AO20" s="16">
        <v>25.079699999999999</v>
      </c>
      <c r="AP20" s="14"/>
      <c r="AQ20" s="16">
        <v>1.8695999999999999</v>
      </c>
      <c r="AR20" s="15" t="s">
        <v>26</v>
      </c>
      <c r="AS20" s="16">
        <v>2.2612000000000001</v>
      </c>
      <c r="AT20" s="16">
        <v>3.8336100000000002</v>
      </c>
      <c r="AU20" s="14"/>
      <c r="AV20" s="16">
        <v>2.8290999999999999</v>
      </c>
      <c r="AW20" s="15" t="s">
        <v>26</v>
      </c>
      <c r="AX20" s="16">
        <v>0.86284000000000005</v>
      </c>
      <c r="AY20" s="16">
        <v>3.5274700000000001</v>
      </c>
      <c r="AZ20" s="14"/>
      <c r="BA20" s="16">
        <v>7.0175999999999998</v>
      </c>
      <c r="BB20" s="15" t="s">
        <v>26</v>
      </c>
      <c r="BC20" s="16">
        <v>3.6269</v>
      </c>
      <c r="BD20" s="17">
        <v>9.3145299999999995</v>
      </c>
    </row>
    <row r="21" spans="1:56" ht="15" thickBot="1" x14ac:dyDescent="0.4"/>
    <row r="22" spans="1:56" ht="15" thickBot="1" x14ac:dyDescent="0.4">
      <c r="G22" s="13" t="s">
        <v>18</v>
      </c>
      <c r="H22" s="9" t="s">
        <v>24</v>
      </c>
      <c r="I22" s="9"/>
      <c r="J22" s="9"/>
      <c r="K22" s="9"/>
      <c r="L22" s="13" t="s">
        <v>1</v>
      </c>
      <c r="M22" s="9" t="s">
        <v>23</v>
      </c>
      <c r="N22" s="9"/>
      <c r="O22" s="9"/>
      <c r="P22" s="9"/>
      <c r="Q22" s="13" t="s">
        <v>2</v>
      </c>
      <c r="R22" s="9" t="s">
        <v>36</v>
      </c>
      <c r="S22" s="9"/>
      <c r="T22" s="9"/>
      <c r="U22" s="9"/>
      <c r="V22" s="13" t="s">
        <v>7</v>
      </c>
      <c r="W22" s="9" t="s">
        <v>38</v>
      </c>
      <c r="X22" s="9"/>
      <c r="Y22" s="9"/>
      <c r="Z22" s="9"/>
      <c r="AA22" s="13" t="s">
        <v>9</v>
      </c>
      <c r="AB22" s="9" t="s">
        <v>73</v>
      </c>
      <c r="AC22" s="9"/>
      <c r="AD22" s="9"/>
      <c r="AE22" s="9"/>
      <c r="AF22" s="13" t="s">
        <v>16</v>
      </c>
      <c r="AG22" s="9" t="s">
        <v>39</v>
      </c>
      <c r="AH22" s="9"/>
      <c r="AI22" s="9"/>
      <c r="AJ22" s="9"/>
      <c r="AK22" s="13" t="s">
        <v>17</v>
      </c>
      <c r="AL22" s="9" t="s">
        <v>40</v>
      </c>
      <c r="AM22" s="9"/>
      <c r="AN22" s="9"/>
      <c r="AO22" s="9"/>
      <c r="AP22" s="13" t="s">
        <v>19</v>
      </c>
      <c r="AQ22" s="9" t="s">
        <v>41</v>
      </c>
      <c r="AR22" s="9"/>
      <c r="AS22" s="9"/>
      <c r="AT22" s="9"/>
      <c r="AU22" s="13" t="s">
        <v>21</v>
      </c>
      <c r="AV22" s="9" t="s">
        <v>42</v>
      </c>
      <c r="AW22" s="9"/>
      <c r="AX22" s="9"/>
      <c r="AY22" s="9"/>
      <c r="AZ22" s="13" t="s">
        <v>22</v>
      </c>
      <c r="BA22" s="9" t="s">
        <v>43</v>
      </c>
      <c r="BB22" s="9"/>
      <c r="BC22" s="9"/>
      <c r="BD22" s="12"/>
    </row>
    <row r="23" spans="1:56" ht="15" thickBot="1" x14ac:dyDescent="0.4">
      <c r="A23" s="13" t="s">
        <v>30</v>
      </c>
      <c r="B23" s="13" t="s">
        <v>29</v>
      </c>
      <c r="C23" s="13" t="s">
        <v>31</v>
      </c>
      <c r="D23" s="13" t="s">
        <v>27</v>
      </c>
      <c r="E23" s="13" t="s">
        <v>25</v>
      </c>
      <c r="F23" s="13" t="s">
        <v>28</v>
      </c>
      <c r="G23" s="11" t="s">
        <v>32</v>
      </c>
      <c r="H23" s="10" t="s">
        <v>33</v>
      </c>
      <c r="I23" s="10"/>
      <c r="J23" s="10" t="s">
        <v>34</v>
      </c>
      <c r="K23" s="10" t="s">
        <v>35</v>
      </c>
      <c r="L23" s="11" t="s">
        <v>32</v>
      </c>
      <c r="M23" s="10" t="s">
        <v>33</v>
      </c>
      <c r="N23" s="10"/>
      <c r="O23" s="10" t="s">
        <v>34</v>
      </c>
      <c r="P23" s="10" t="s">
        <v>35</v>
      </c>
      <c r="Q23" s="11" t="s">
        <v>32</v>
      </c>
      <c r="R23" s="10" t="s">
        <v>33</v>
      </c>
      <c r="S23" s="10"/>
      <c r="T23" s="10" t="s">
        <v>34</v>
      </c>
      <c r="U23" s="10" t="s">
        <v>35</v>
      </c>
      <c r="V23" s="11" t="s">
        <v>32</v>
      </c>
      <c r="W23" s="10" t="s">
        <v>33</v>
      </c>
      <c r="X23" s="10"/>
      <c r="Y23" s="10" t="s">
        <v>34</v>
      </c>
      <c r="Z23" s="10" t="s">
        <v>35</v>
      </c>
      <c r="AA23" s="11" t="s">
        <v>32</v>
      </c>
      <c r="AB23" s="10" t="s">
        <v>33</v>
      </c>
      <c r="AC23" s="10"/>
      <c r="AD23" s="10" t="s">
        <v>34</v>
      </c>
      <c r="AE23" s="10" t="s">
        <v>35</v>
      </c>
      <c r="AF23" s="11" t="s">
        <v>32</v>
      </c>
      <c r="AG23" s="10" t="s">
        <v>33</v>
      </c>
      <c r="AH23" s="10"/>
      <c r="AI23" s="10" t="s">
        <v>34</v>
      </c>
      <c r="AJ23" s="10" t="s">
        <v>35</v>
      </c>
      <c r="AK23" s="11" t="s">
        <v>32</v>
      </c>
      <c r="AL23" s="10" t="s">
        <v>33</v>
      </c>
      <c r="AM23" s="10"/>
      <c r="AN23" s="10" t="s">
        <v>34</v>
      </c>
      <c r="AO23" s="10" t="s">
        <v>35</v>
      </c>
      <c r="AP23" s="11" t="s">
        <v>32</v>
      </c>
      <c r="AQ23" s="10" t="s">
        <v>33</v>
      </c>
      <c r="AR23" s="10"/>
      <c r="AS23" s="10" t="s">
        <v>34</v>
      </c>
      <c r="AT23" s="10" t="s">
        <v>35</v>
      </c>
      <c r="AU23" s="11" t="s">
        <v>32</v>
      </c>
      <c r="AV23" s="10" t="s">
        <v>33</v>
      </c>
      <c r="AW23" s="10"/>
      <c r="AX23" s="10" t="s">
        <v>34</v>
      </c>
      <c r="AY23" s="10" t="s">
        <v>35</v>
      </c>
      <c r="AZ23" s="11" t="s">
        <v>32</v>
      </c>
      <c r="BA23" s="10" t="s">
        <v>33</v>
      </c>
      <c r="BB23" s="10"/>
      <c r="BC23" s="10" t="s">
        <v>34</v>
      </c>
      <c r="BD23" s="24" t="s">
        <v>35</v>
      </c>
    </row>
    <row r="24" spans="1:56" ht="15" thickBot="1" x14ac:dyDescent="0.4">
      <c r="A24" s="10" t="s">
        <v>77</v>
      </c>
      <c r="B24" s="11" t="s">
        <v>46</v>
      </c>
      <c r="C24" s="11" t="s">
        <v>75</v>
      </c>
      <c r="D24" s="11">
        <v>3.2483999999999998E-3</v>
      </c>
      <c r="E24" s="20">
        <v>45030</v>
      </c>
      <c r="F24" s="11">
        <v>2.8625231481481488</v>
      </c>
      <c r="G24" s="14"/>
      <c r="H24" s="15"/>
      <c r="I24" s="15" t="s">
        <v>26</v>
      </c>
      <c r="J24" s="15"/>
      <c r="K24" s="16">
        <v>19.420400000000001</v>
      </c>
      <c r="L24" s="14"/>
      <c r="M24" s="16">
        <v>2.3809</v>
      </c>
      <c r="N24" s="15" t="s">
        <v>26</v>
      </c>
      <c r="O24" s="16">
        <v>1.3582000000000001</v>
      </c>
      <c r="P24" s="16">
        <v>11.087199999999999</v>
      </c>
      <c r="Q24" s="14"/>
      <c r="R24" s="15"/>
      <c r="S24" s="15" t="s">
        <v>26</v>
      </c>
      <c r="T24" s="15"/>
      <c r="U24" s="16">
        <v>1.5164299999999999</v>
      </c>
      <c r="V24" s="14"/>
      <c r="W24" s="16">
        <v>0.11119999999999999</v>
      </c>
      <c r="X24" s="15" t="s">
        <v>26</v>
      </c>
      <c r="Y24" s="16">
        <v>0.82845999999999997</v>
      </c>
      <c r="Z24" s="16">
        <v>3.6706599999999998</v>
      </c>
      <c r="AA24" s="14"/>
      <c r="AB24" s="15"/>
      <c r="AC24" s="15" t="s">
        <v>26</v>
      </c>
      <c r="AD24" s="15"/>
      <c r="AE24" s="16">
        <v>1.6356599999999999</v>
      </c>
      <c r="AF24" s="14"/>
      <c r="AG24" s="16">
        <v>0.28294000000000002</v>
      </c>
      <c r="AH24" s="15" t="s">
        <v>26</v>
      </c>
      <c r="AI24" s="16">
        <v>0.30498999999999998</v>
      </c>
      <c r="AJ24" s="16">
        <v>1.2802899999999999</v>
      </c>
      <c r="AK24" s="14"/>
      <c r="AL24" s="15"/>
      <c r="AM24" s="15" t="s">
        <v>26</v>
      </c>
      <c r="AN24" s="15"/>
      <c r="AO24" s="16">
        <v>20.615500000000001</v>
      </c>
      <c r="AP24" s="14"/>
      <c r="AQ24" s="16">
        <v>4.8715000000000002</v>
      </c>
      <c r="AR24" s="15" t="s">
        <v>26</v>
      </c>
      <c r="AS24" s="16">
        <v>0.82130000000000003</v>
      </c>
      <c r="AT24" s="16">
        <v>3.3340200000000002</v>
      </c>
      <c r="AU24" s="14"/>
      <c r="AV24" s="16">
        <v>4.1117999999999997</v>
      </c>
      <c r="AW24" s="15" t="s">
        <v>26</v>
      </c>
      <c r="AX24" s="16">
        <v>1.8318000000000001</v>
      </c>
      <c r="AY24" s="16">
        <v>3.0441099999999999</v>
      </c>
      <c r="AZ24" s="14"/>
      <c r="BA24" s="16">
        <v>5.5305999999999997</v>
      </c>
      <c r="BB24" s="15" t="s">
        <v>26</v>
      </c>
      <c r="BC24" s="16">
        <v>1.6085</v>
      </c>
      <c r="BD24" s="17">
        <v>7.43093</v>
      </c>
    </row>
    <row r="25" spans="1:56" ht="15" thickBot="1" x14ac:dyDescent="0.4"/>
    <row r="26" spans="1:56" ht="15" thickBot="1" x14ac:dyDescent="0.4">
      <c r="G26" s="13" t="s">
        <v>18</v>
      </c>
      <c r="H26" s="9" t="s">
        <v>24</v>
      </c>
      <c r="I26" s="9"/>
      <c r="J26" s="9"/>
      <c r="K26" s="9"/>
      <c r="L26" s="13" t="s">
        <v>1</v>
      </c>
      <c r="M26" s="9" t="s">
        <v>23</v>
      </c>
      <c r="N26" s="9"/>
      <c r="O26" s="9"/>
      <c r="P26" s="9"/>
      <c r="Q26" s="13" t="s">
        <v>2</v>
      </c>
      <c r="R26" s="9" t="s">
        <v>36</v>
      </c>
      <c r="S26" s="9"/>
      <c r="T26" s="9"/>
      <c r="U26" s="9"/>
      <c r="V26" s="13" t="s">
        <v>7</v>
      </c>
      <c r="W26" s="9" t="s">
        <v>38</v>
      </c>
      <c r="X26" s="9"/>
      <c r="Y26" s="9"/>
      <c r="Z26" s="9"/>
      <c r="AA26" s="13" t="s">
        <v>9</v>
      </c>
      <c r="AB26" s="9" t="s">
        <v>73</v>
      </c>
      <c r="AC26" s="9"/>
      <c r="AD26" s="9"/>
      <c r="AE26" s="9"/>
      <c r="AF26" s="13" t="s">
        <v>16</v>
      </c>
      <c r="AG26" s="9" t="s">
        <v>39</v>
      </c>
      <c r="AH26" s="9"/>
      <c r="AI26" s="9"/>
      <c r="AJ26" s="9"/>
      <c r="AK26" s="13" t="s">
        <v>17</v>
      </c>
      <c r="AL26" s="9" t="s">
        <v>40</v>
      </c>
      <c r="AM26" s="9"/>
      <c r="AN26" s="9"/>
      <c r="AO26" s="9"/>
      <c r="AP26" s="13" t="s">
        <v>19</v>
      </c>
      <c r="AQ26" s="9" t="s">
        <v>41</v>
      </c>
      <c r="AR26" s="9"/>
      <c r="AS26" s="9"/>
      <c r="AT26" s="9"/>
      <c r="AU26" s="13" t="s">
        <v>21</v>
      </c>
      <c r="AV26" s="9" t="s">
        <v>42</v>
      </c>
      <c r="AW26" s="9"/>
      <c r="AX26" s="9"/>
      <c r="AY26" s="9"/>
      <c r="AZ26" s="13" t="s">
        <v>22</v>
      </c>
      <c r="BA26" s="9" t="s">
        <v>43</v>
      </c>
      <c r="BB26" s="9"/>
      <c r="BC26" s="9"/>
      <c r="BD26" s="12"/>
    </row>
    <row r="27" spans="1:56" ht="15" thickBot="1" x14ac:dyDescent="0.4">
      <c r="A27" s="13" t="s">
        <v>30</v>
      </c>
      <c r="B27" s="13" t="s">
        <v>29</v>
      </c>
      <c r="C27" s="13" t="s">
        <v>31</v>
      </c>
      <c r="D27" s="13" t="s">
        <v>27</v>
      </c>
      <c r="E27" s="13" t="s">
        <v>25</v>
      </c>
      <c r="F27" s="13" t="s">
        <v>28</v>
      </c>
      <c r="G27" s="13" t="s">
        <v>32</v>
      </c>
      <c r="H27" s="9" t="s">
        <v>33</v>
      </c>
      <c r="I27" s="9"/>
      <c r="J27" s="9" t="s">
        <v>34</v>
      </c>
      <c r="K27" s="9" t="s">
        <v>35</v>
      </c>
      <c r="L27" s="13" t="s">
        <v>32</v>
      </c>
      <c r="M27" s="9" t="s">
        <v>33</v>
      </c>
      <c r="N27" s="9"/>
      <c r="O27" s="9" t="s">
        <v>34</v>
      </c>
      <c r="P27" s="9" t="s">
        <v>35</v>
      </c>
      <c r="Q27" s="13" t="s">
        <v>32</v>
      </c>
      <c r="R27" s="9" t="s">
        <v>33</v>
      </c>
      <c r="S27" s="9"/>
      <c r="T27" s="9" t="s">
        <v>34</v>
      </c>
      <c r="U27" s="9" t="s">
        <v>35</v>
      </c>
      <c r="V27" s="13" t="s">
        <v>32</v>
      </c>
      <c r="W27" s="9" t="s">
        <v>33</v>
      </c>
      <c r="X27" s="9"/>
      <c r="Y27" s="9" t="s">
        <v>34</v>
      </c>
      <c r="Z27" s="9" t="s">
        <v>35</v>
      </c>
      <c r="AA27" s="13" t="s">
        <v>32</v>
      </c>
      <c r="AB27" s="9" t="s">
        <v>33</v>
      </c>
      <c r="AC27" s="9"/>
      <c r="AD27" s="9" t="s">
        <v>34</v>
      </c>
      <c r="AE27" s="9" t="s">
        <v>35</v>
      </c>
      <c r="AF27" s="13" t="s">
        <v>32</v>
      </c>
      <c r="AG27" s="9" t="s">
        <v>33</v>
      </c>
      <c r="AH27" s="9"/>
      <c r="AI27" s="9" t="s">
        <v>34</v>
      </c>
      <c r="AJ27" s="9" t="s">
        <v>35</v>
      </c>
      <c r="AK27" s="13" t="s">
        <v>32</v>
      </c>
      <c r="AL27" s="9" t="s">
        <v>33</v>
      </c>
      <c r="AM27" s="9"/>
      <c r="AN27" s="9" t="s">
        <v>34</v>
      </c>
      <c r="AO27" s="9" t="s">
        <v>35</v>
      </c>
      <c r="AP27" s="13" t="s">
        <v>32</v>
      </c>
      <c r="AQ27" s="9" t="s">
        <v>33</v>
      </c>
      <c r="AR27" s="9"/>
      <c r="AS27" s="9" t="s">
        <v>34</v>
      </c>
      <c r="AT27" s="9" t="s">
        <v>35</v>
      </c>
      <c r="AU27" s="13" t="s">
        <v>32</v>
      </c>
      <c r="AV27" s="9" t="s">
        <v>33</v>
      </c>
      <c r="AW27" s="9"/>
      <c r="AX27" s="9" t="s">
        <v>34</v>
      </c>
      <c r="AY27" s="9" t="s">
        <v>35</v>
      </c>
      <c r="AZ27" s="13" t="s">
        <v>32</v>
      </c>
      <c r="BA27" s="9" t="s">
        <v>33</v>
      </c>
      <c r="BB27" s="9"/>
      <c r="BC27" s="9" t="s">
        <v>34</v>
      </c>
      <c r="BD27" s="12" t="s">
        <v>35</v>
      </c>
    </row>
    <row r="28" spans="1:56" ht="15" thickBot="1" x14ac:dyDescent="0.4">
      <c r="A28" s="13" t="s">
        <v>76</v>
      </c>
      <c r="B28" s="13" t="s">
        <v>46</v>
      </c>
      <c r="C28" s="13" t="s">
        <v>75</v>
      </c>
      <c r="D28" s="13">
        <v>3.2396999999999999E-3</v>
      </c>
      <c r="E28" s="21">
        <v>45028</v>
      </c>
      <c r="F28" s="13">
        <v>1.9652662037037034</v>
      </c>
      <c r="G28" s="13"/>
      <c r="H28" s="22">
        <v>1.4684999999999999</v>
      </c>
      <c r="I28" s="9" t="s">
        <v>26</v>
      </c>
      <c r="J28" s="22">
        <v>6.0750999999999999</v>
      </c>
      <c r="K28" s="22">
        <v>11.8043</v>
      </c>
      <c r="L28" s="13"/>
      <c r="M28" s="9"/>
      <c r="N28" s="9" t="s">
        <v>26</v>
      </c>
      <c r="O28" s="9"/>
      <c r="P28" s="22">
        <v>11.254099999999999</v>
      </c>
      <c r="Q28" s="13"/>
      <c r="R28" s="9"/>
      <c r="S28" s="9" t="s">
        <v>26</v>
      </c>
      <c r="T28" s="9"/>
      <c r="U28" s="22">
        <v>1.8401700000000001</v>
      </c>
      <c r="V28" s="13"/>
      <c r="W28" s="9"/>
      <c r="X28" s="9" t="s">
        <v>26</v>
      </c>
      <c r="Y28" s="9"/>
      <c r="Z28" s="22">
        <v>7.5845599999999997</v>
      </c>
      <c r="AA28" s="13"/>
      <c r="AB28" s="9"/>
      <c r="AC28" s="9" t="s">
        <v>26</v>
      </c>
      <c r="AD28" s="9"/>
      <c r="AE28" s="22">
        <v>1.9453100000000001</v>
      </c>
      <c r="AF28" s="13"/>
      <c r="AG28" s="22">
        <v>5.6410000000000002E-2</v>
      </c>
      <c r="AH28" s="9" t="s">
        <v>26</v>
      </c>
      <c r="AI28" s="22">
        <v>0.92895000000000005</v>
      </c>
      <c r="AJ28" s="22">
        <v>1.5812900000000001</v>
      </c>
      <c r="AK28" s="13"/>
      <c r="AL28" s="9"/>
      <c r="AM28" s="9" t="s">
        <v>26</v>
      </c>
      <c r="AN28" s="9"/>
      <c r="AO28" s="22">
        <v>25.888999999999999</v>
      </c>
      <c r="AP28" s="13"/>
      <c r="AQ28" s="22">
        <v>3.9373</v>
      </c>
      <c r="AR28" s="9" t="s">
        <v>26</v>
      </c>
      <c r="AS28" s="22">
        <v>0.90495000000000003</v>
      </c>
      <c r="AT28" s="22">
        <v>3.7225899999999998</v>
      </c>
      <c r="AU28" s="13"/>
      <c r="AV28" s="22">
        <v>4.4324000000000003</v>
      </c>
      <c r="AW28" s="9" t="s">
        <v>26</v>
      </c>
      <c r="AX28" s="22">
        <v>0.90466999999999997</v>
      </c>
      <c r="AY28" s="22">
        <v>3.5722200000000002</v>
      </c>
      <c r="AZ28" s="13"/>
      <c r="BA28" s="22">
        <v>4.8619000000000003</v>
      </c>
      <c r="BB28" s="9" t="s">
        <v>26</v>
      </c>
      <c r="BC28" s="22">
        <v>3.8077999999999999</v>
      </c>
      <c r="BD28" s="23">
        <v>9.0710599999999992</v>
      </c>
    </row>
    <row r="29" spans="1:56" ht="15" thickBot="1" x14ac:dyDescent="0.4">
      <c r="A29" s="13" t="s">
        <v>77</v>
      </c>
      <c r="B29" s="13" t="s">
        <v>46</v>
      </c>
      <c r="C29" s="13" t="s">
        <v>75</v>
      </c>
      <c r="D29" s="13">
        <v>3.2483999999999998E-3</v>
      </c>
      <c r="E29" s="21">
        <v>45030</v>
      </c>
      <c r="F29" s="13">
        <v>2.8625231481481488</v>
      </c>
      <c r="G29" s="13"/>
      <c r="H29" s="9"/>
      <c r="I29" s="9" t="s">
        <v>26</v>
      </c>
      <c r="J29" s="9"/>
      <c r="K29" s="22">
        <v>19.420400000000001</v>
      </c>
      <c r="L29" s="13"/>
      <c r="M29" s="22">
        <v>2.3809</v>
      </c>
      <c r="N29" s="9" t="s">
        <v>26</v>
      </c>
      <c r="O29" s="22">
        <v>1.3582000000000001</v>
      </c>
      <c r="P29" s="22">
        <v>11.087199999999999</v>
      </c>
      <c r="Q29" s="13"/>
      <c r="R29" s="9"/>
      <c r="S29" s="9" t="s">
        <v>26</v>
      </c>
      <c r="T29" s="9"/>
      <c r="U29" s="22">
        <v>1.5164299999999999</v>
      </c>
      <c r="V29" s="13"/>
      <c r="W29" s="22">
        <v>0.11119999999999999</v>
      </c>
      <c r="X29" s="9" t="s">
        <v>26</v>
      </c>
      <c r="Y29" s="22">
        <v>0.82845999999999997</v>
      </c>
      <c r="Z29" s="22">
        <v>3.6706599999999998</v>
      </c>
      <c r="AA29" s="13"/>
      <c r="AB29" s="9"/>
      <c r="AC29" s="9" t="s">
        <v>26</v>
      </c>
      <c r="AD29" s="9"/>
      <c r="AE29" s="22">
        <v>1.6356599999999999</v>
      </c>
      <c r="AF29" s="13"/>
      <c r="AG29" s="22">
        <v>0.28294000000000002</v>
      </c>
      <c r="AH29" s="9" t="s">
        <v>26</v>
      </c>
      <c r="AI29" s="22">
        <v>0.30498999999999998</v>
      </c>
      <c r="AJ29" s="22">
        <v>1.2802899999999999</v>
      </c>
      <c r="AK29" s="13"/>
      <c r="AL29" s="9"/>
      <c r="AM29" s="9" t="s">
        <v>26</v>
      </c>
      <c r="AN29" s="9"/>
      <c r="AO29" s="22">
        <v>20.615500000000001</v>
      </c>
      <c r="AP29" s="13"/>
      <c r="AQ29" s="22">
        <v>4.8715000000000002</v>
      </c>
      <c r="AR29" s="9" t="s">
        <v>26</v>
      </c>
      <c r="AS29" s="22">
        <v>0.82130000000000003</v>
      </c>
      <c r="AT29" s="22">
        <v>3.3340200000000002</v>
      </c>
      <c r="AU29" s="13"/>
      <c r="AV29" s="22">
        <v>4.1117999999999997</v>
      </c>
      <c r="AW29" s="9" t="s">
        <v>26</v>
      </c>
      <c r="AX29" s="22">
        <v>1.8318000000000001</v>
      </c>
      <c r="AY29" s="22">
        <v>3.0441099999999999</v>
      </c>
      <c r="AZ29" s="13"/>
      <c r="BA29" s="22">
        <v>5.5305999999999997</v>
      </c>
      <c r="BB29" s="9" t="s">
        <v>26</v>
      </c>
      <c r="BC29" s="22">
        <v>1.6085</v>
      </c>
      <c r="BD29" s="23">
        <v>7.43093</v>
      </c>
    </row>
    <row r="30" spans="1:56" ht="15" thickBot="1" x14ac:dyDescent="0.4">
      <c r="A30" s="13" t="s">
        <v>74</v>
      </c>
      <c r="B30" s="13" t="s">
        <v>46</v>
      </c>
      <c r="C30" s="13" t="s">
        <v>75</v>
      </c>
      <c r="D30" s="13">
        <v>3.1782999999999998E-3</v>
      </c>
      <c r="E30" s="21">
        <v>45033</v>
      </c>
      <c r="F30" s="13">
        <v>1.9725694444444446</v>
      </c>
      <c r="G30" s="13"/>
      <c r="H30" s="22">
        <v>0.94105000000000005</v>
      </c>
      <c r="I30" s="9" t="s">
        <v>26</v>
      </c>
      <c r="J30" s="22">
        <v>2.7454000000000001</v>
      </c>
      <c r="K30" s="22">
        <v>12.8192</v>
      </c>
      <c r="L30" s="13"/>
      <c r="M30" s="22">
        <v>3.3460999999999999</v>
      </c>
      <c r="N30" s="9" t="s">
        <v>26</v>
      </c>
      <c r="O30" s="22">
        <v>1.238</v>
      </c>
      <c r="P30" s="22">
        <v>6.2232399999999997</v>
      </c>
      <c r="Q30" s="13"/>
      <c r="R30" s="9"/>
      <c r="S30" s="9" t="s">
        <v>26</v>
      </c>
      <c r="T30" s="9"/>
      <c r="U30" s="22">
        <v>1.84294</v>
      </c>
      <c r="V30" s="13"/>
      <c r="W30" s="22">
        <v>1.1171</v>
      </c>
      <c r="X30" s="9" t="s">
        <v>26</v>
      </c>
      <c r="Y30" s="22">
        <v>1.0132000000000001</v>
      </c>
      <c r="Z30" s="22">
        <v>4.6887499999999998</v>
      </c>
      <c r="AA30" s="13"/>
      <c r="AB30" s="9"/>
      <c r="AC30" s="9" t="s">
        <v>26</v>
      </c>
      <c r="AD30" s="9"/>
      <c r="AE30" s="22">
        <v>2.0777399999999999</v>
      </c>
      <c r="AF30" s="13"/>
      <c r="AG30" s="22">
        <v>7.6395000000000005E-2</v>
      </c>
      <c r="AH30" s="9" t="s">
        <v>26</v>
      </c>
      <c r="AI30" s="22">
        <v>0.82974000000000003</v>
      </c>
      <c r="AJ30" s="22">
        <v>1.6367499999999999</v>
      </c>
      <c r="AK30" s="13"/>
      <c r="AL30" s="9"/>
      <c r="AM30" s="9" t="s">
        <v>26</v>
      </c>
      <c r="AN30" s="9"/>
      <c r="AO30" s="22">
        <v>25.079699999999999</v>
      </c>
      <c r="AP30" s="13"/>
      <c r="AQ30" s="22">
        <v>1.8695999999999999</v>
      </c>
      <c r="AR30" s="9" t="s">
        <v>26</v>
      </c>
      <c r="AS30" s="22">
        <v>2.2612000000000001</v>
      </c>
      <c r="AT30" s="22">
        <v>3.8336100000000002</v>
      </c>
      <c r="AU30" s="13"/>
      <c r="AV30" s="22">
        <v>2.8290999999999999</v>
      </c>
      <c r="AW30" s="9" t="s">
        <v>26</v>
      </c>
      <c r="AX30" s="22">
        <v>0.86284000000000005</v>
      </c>
      <c r="AY30" s="22">
        <v>3.5274700000000001</v>
      </c>
      <c r="AZ30" s="13"/>
      <c r="BA30" s="22">
        <v>7.0175999999999998</v>
      </c>
      <c r="BB30" s="9" t="s">
        <v>26</v>
      </c>
      <c r="BC30" s="22">
        <v>3.6269</v>
      </c>
      <c r="BD30" s="23">
        <v>9.3145299999999995</v>
      </c>
    </row>
    <row r="31" spans="1:56" ht="15" thickBot="1" x14ac:dyDescent="0.4">
      <c r="A31" s="13" t="s">
        <v>78</v>
      </c>
      <c r="B31" s="13" t="s">
        <v>46</v>
      </c>
      <c r="C31" s="13" t="s">
        <v>75</v>
      </c>
      <c r="D31" s="13">
        <v>3.1957000000000001E-3</v>
      </c>
      <c r="E31" s="21">
        <v>45035</v>
      </c>
      <c r="F31" s="13">
        <v>2.0404166666666668</v>
      </c>
      <c r="G31" s="11"/>
      <c r="H31" s="10"/>
      <c r="I31" s="10" t="s">
        <v>26</v>
      </c>
      <c r="J31" s="10"/>
      <c r="K31" s="18">
        <v>21.782</v>
      </c>
      <c r="L31" s="11"/>
      <c r="M31" s="10"/>
      <c r="N31" s="10" t="s">
        <v>26</v>
      </c>
      <c r="O31" s="10"/>
      <c r="P31" s="18">
        <v>10.6469</v>
      </c>
      <c r="Q31" s="11"/>
      <c r="R31" s="10"/>
      <c r="S31" s="10" t="s">
        <v>26</v>
      </c>
      <c r="T31" s="10"/>
      <c r="U31" s="18">
        <v>1.6870000000000001</v>
      </c>
      <c r="V31" s="11"/>
      <c r="W31" s="18">
        <v>6.0214999999999998E-2</v>
      </c>
      <c r="X31" s="10" t="s">
        <v>26</v>
      </c>
      <c r="Y31" s="18">
        <v>0.93725000000000003</v>
      </c>
      <c r="Z31" s="18">
        <v>4.0787100000000001</v>
      </c>
      <c r="AA31" s="11"/>
      <c r="AB31" s="10"/>
      <c r="AC31" s="10" t="s">
        <v>26</v>
      </c>
      <c r="AD31" s="10"/>
      <c r="AE31" s="18">
        <v>1.88083</v>
      </c>
      <c r="AF31" s="11"/>
      <c r="AG31" s="18">
        <v>0.69462000000000002</v>
      </c>
      <c r="AH31" s="10" t="s">
        <v>26</v>
      </c>
      <c r="AI31" s="18">
        <v>0.84218000000000004</v>
      </c>
      <c r="AJ31" s="18">
        <v>1.4815100000000001</v>
      </c>
      <c r="AK31" s="11"/>
      <c r="AL31" s="10"/>
      <c r="AM31" s="10" t="s">
        <v>26</v>
      </c>
      <c r="AN31" s="10"/>
      <c r="AO31" s="18">
        <v>24.2485</v>
      </c>
      <c r="AP31" s="11"/>
      <c r="AQ31" s="18">
        <v>2.2997000000000001</v>
      </c>
      <c r="AR31" s="10" t="s">
        <v>26</v>
      </c>
      <c r="AS31" s="18">
        <v>2.1663000000000001</v>
      </c>
      <c r="AT31" s="18">
        <v>3.6744699999999999</v>
      </c>
      <c r="AU31" s="11"/>
      <c r="AV31" s="18">
        <v>1.7192000000000001</v>
      </c>
      <c r="AW31" s="10" t="s">
        <v>26</v>
      </c>
      <c r="AX31" s="18">
        <v>0.81808999999999998</v>
      </c>
      <c r="AY31" s="18">
        <v>3.5068299999999999</v>
      </c>
      <c r="AZ31" s="11"/>
      <c r="BA31" s="18">
        <v>1.7357</v>
      </c>
      <c r="BB31" s="10" t="s">
        <v>26</v>
      </c>
      <c r="BC31" s="18">
        <v>2.7067000000000001</v>
      </c>
      <c r="BD31" s="19">
        <v>8.4159400000000009</v>
      </c>
    </row>
    <row r="32" spans="1:56" ht="15" thickBot="1" x14ac:dyDescent="0.4">
      <c r="A32" s="10" t="s">
        <v>79</v>
      </c>
      <c r="B32" s="11" t="s">
        <v>46</v>
      </c>
      <c r="C32" s="11" t="s">
        <v>75</v>
      </c>
      <c r="D32" s="11">
        <v>3.1654</v>
      </c>
      <c r="E32" s="20">
        <v>45037</v>
      </c>
      <c r="F32" s="11">
        <v>2.7241898148148151</v>
      </c>
      <c r="G32" s="14"/>
      <c r="H32" s="15"/>
      <c r="I32" s="15" t="s">
        <v>26</v>
      </c>
      <c r="J32" s="15"/>
      <c r="K32" s="16">
        <v>1.9615899999999999E-2</v>
      </c>
      <c r="L32" s="14"/>
      <c r="M32" s="15"/>
      <c r="N32" s="15" t="s">
        <v>26</v>
      </c>
      <c r="O32" s="15"/>
      <c r="P32" s="16">
        <v>9.5194900000000002E-3</v>
      </c>
      <c r="Q32" s="14"/>
      <c r="R32" s="15"/>
      <c r="S32" s="15" t="s">
        <v>26</v>
      </c>
      <c r="T32" s="15"/>
      <c r="U32" s="16">
        <v>1.6313499999999999E-3</v>
      </c>
      <c r="V32" s="14"/>
      <c r="W32" s="16">
        <v>8.4584000000000005E-4</v>
      </c>
      <c r="X32" s="15" t="s">
        <v>26</v>
      </c>
      <c r="Y32" s="16">
        <v>3.0836000000000001E-3</v>
      </c>
      <c r="Z32" s="16">
        <v>3.8838800000000001E-3</v>
      </c>
      <c r="AA32" s="14"/>
      <c r="AB32" s="15"/>
      <c r="AC32" s="15" t="s">
        <v>26</v>
      </c>
      <c r="AD32" s="15"/>
      <c r="AE32" s="16">
        <v>1.7826000000000001E-3</v>
      </c>
      <c r="AF32" s="14"/>
      <c r="AG32" s="16">
        <v>9.0487000000000003E-5</v>
      </c>
      <c r="AH32" s="15" t="s">
        <v>26</v>
      </c>
      <c r="AI32" s="16">
        <v>3.1171999999999998E-4</v>
      </c>
      <c r="AJ32" s="16">
        <v>1.4017000000000001E-3</v>
      </c>
      <c r="AK32" s="14"/>
      <c r="AL32" s="15"/>
      <c r="AM32" s="15" t="s">
        <v>26</v>
      </c>
      <c r="AN32" s="15"/>
      <c r="AO32" s="16">
        <v>2.2160699999999998E-2</v>
      </c>
      <c r="AP32" s="14"/>
      <c r="AQ32" s="16">
        <v>4.7713E-3</v>
      </c>
      <c r="AR32" s="15" t="s">
        <v>26</v>
      </c>
      <c r="AS32" s="16">
        <v>2.0295000000000001E-3</v>
      </c>
      <c r="AT32" s="16">
        <v>3.4633200000000002E-3</v>
      </c>
      <c r="AU32" s="14"/>
      <c r="AV32" s="16">
        <v>2.5791E-3</v>
      </c>
      <c r="AW32" s="15" t="s">
        <v>26</v>
      </c>
      <c r="AX32" s="16">
        <v>1.7328999999999999E-3</v>
      </c>
      <c r="AY32" s="16">
        <v>3.2999499999999998E-3</v>
      </c>
      <c r="AZ32" s="14"/>
      <c r="BA32" s="16">
        <v>1.3458999999999999E-3</v>
      </c>
      <c r="BB32" s="15" t="s">
        <v>26</v>
      </c>
      <c r="BC32" s="16">
        <v>2.2816999999999998E-3</v>
      </c>
      <c r="BD32" s="17">
        <v>7.77E-3</v>
      </c>
    </row>
    <row r="33" spans="1:76" ht="15" thickBot="1" x14ac:dyDescent="0.4"/>
    <row r="34" spans="1:76" ht="15" thickBot="1" x14ac:dyDescent="0.4">
      <c r="G34" s="13" t="s">
        <v>18</v>
      </c>
      <c r="H34" s="9" t="s">
        <v>24</v>
      </c>
      <c r="I34" s="9"/>
      <c r="J34" s="9"/>
      <c r="K34" s="9"/>
      <c r="L34" s="13" t="s">
        <v>1</v>
      </c>
      <c r="M34" s="9" t="s">
        <v>23</v>
      </c>
      <c r="N34" s="9"/>
      <c r="O34" s="9"/>
      <c r="P34" s="9"/>
      <c r="Q34" s="13" t="s">
        <v>2</v>
      </c>
      <c r="R34" s="9" t="s">
        <v>36</v>
      </c>
      <c r="S34" s="9"/>
      <c r="T34" s="9"/>
      <c r="U34" s="9"/>
      <c r="V34" s="13" t="s">
        <v>7</v>
      </c>
      <c r="W34" s="9" t="s">
        <v>38</v>
      </c>
      <c r="X34" s="9"/>
      <c r="Y34" s="9"/>
      <c r="Z34" s="9"/>
      <c r="AA34" s="13" t="s">
        <v>9</v>
      </c>
      <c r="AB34" s="9" t="s">
        <v>73</v>
      </c>
      <c r="AC34" s="9"/>
      <c r="AD34" s="9"/>
      <c r="AE34" s="9"/>
      <c r="AF34" s="13" t="s">
        <v>16</v>
      </c>
      <c r="AG34" s="9" t="s">
        <v>39</v>
      </c>
      <c r="AH34" s="9"/>
      <c r="AI34" s="9"/>
      <c r="AJ34" s="9"/>
      <c r="AK34" s="13" t="s">
        <v>17</v>
      </c>
      <c r="AL34" s="9" t="s">
        <v>40</v>
      </c>
      <c r="AM34" s="9"/>
      <c r="AN34" s="9"/>
      <c r="AO34" s="9"/>
      <c r="AP34" s="13" t="s">
        <v>19</v>
      </c>
      <c r="AQ34" s="9" t="s">
        <v>41</v>
      </c>
      <c r="AR34" s="9"/>
      <c r="AS34" s="9"/>
      <c r="AT34" s="9"/>
      <c r="AU34" s="13" t="s">
        <v>63</v>
      </c>
      <c r="AV34" s="9" t="s">
        <v>64</v>
      </c>
      <c r="AW34" s="9"/>
      <c r="AX34" s="9"/>
      <c r="AY34" s="9"/>
      <c r="AZ34" s="13" t="s">
        <v>65</v>
      </c>
      <c r="BA34" s="9" t="s">
        <v>66</v>
      </c>
      <c r="BB34" s="9"/>
      <c r="BC34" s="9"/>
      <c r="BD34" s="9"/>
      <c r="BE34" s="13" t="s">
        <v>21</v>
      </c>
      <c r="BF34" s="9" t="s">
        <v>42</v>
      </c>
      <c r="BG34" s="9"/>
      <c r="BH34" s="9"/>
      <c r="BI34" s="9"/>
      <c r="BJ34" s="13" t="s">
        <v>22</v>
      </c>
      <c r="BK34" s="9" t="s">
        <v>43</v>
      </c>
      <c r="BL34" s="9"/>
      <c r="BM34" s="9"/>
      <c r="BN34" s="9"/>
      <c r="BO34" s="13" t="s">
        <v>44</v>
      </c>
      <c r="BP34" s="9" t="s">
        <v>45</v>
      </c>
      <c r="BQ34" s="9"/>
      <c r="BR34" s="9"/>
      <c r="BS34" s="9"/>
      <c r="BT34" s="13" t="s">
        <v>47</v>
      </c>
      <c r="BU34" s="9" t="s">
        <v>48</v>
      </c>
      <c r="BV34" s="9"/>
      <c r="BW34" s="9"/>
      <c r="BX34" s="12"/>
    </row>
    <row r="35" spans="1:76" ht="15" thickBot="1" x14ac:dyDescent="0.4">
      <c r="A35" s="13" t="s">
        <v>30</v>
      </c>
      <c r="B35" s="13" t="s">
        <v>29</v>
      </c>
      <c r="C35" s="13" t="s">
        <v>31</v>
      </c>
      <c r="D35" s="13" t="s">
        <v>27</v>
      </c>
      <c r="E35" s="13" t="s">
        <v>25</v>
      </c>
      <c r="F35" s="13" t="s">
        <v>28</v>
      </c>
      <c r="G35" s="11" t="s">
        <v>32</v>
      </c>
      <c r="H35" s="10" t="s">
        <v>33</v>
      </c>
      <c r="I35" s="10"/>
      <c r="J35" s="10" t="s">
        <v>34</v>
      </c>
      <c r="K35" s="10" t="s">
        <v>35</v>
      </c>
      <c r="L35" s="11" t="s">
        <v>32</v>
      </c>
      <c r="M35" s="10" t="s">
        <v>33</v>
      </c>
      <c r="N35" s="10"/>
      <c r="O35" s="10" t="s">
        <v>34</v>
      </c>
      <c r="P35" s="10" t="s">
        <v>35</v>
      </c>
      <c r="Q35" s="11" t="s">
        <v>32</v>
      </c>
      <c r="R35" s="10" t="s">
        <v>33</v>
      </c>
      <c r="S35" s="10"/>
      <c r="T35" s="10" t="s">
        <v>34</v>
      </c>
      <c r="U35" s="10" t="s">
        <v>35</v>
      </c>
      <c r="V35" s="11" t="s">
        <v>32</v>
      </c>
      <c r="W35" s="10" t="s">
        <v>33</v>
      </c>
      <c r="X35" s="10"/>
      <c r="Y35" s="10" t="s">
        <v>34</v>
      </c>
      <c r="Z35" s="10" t="s">
        <v>35</v>
      </c>
      <c r="AA35" s="11" t="s">
        <v>32</v>
      </c>
      <c r="AB35" s="10" t="s">
        <v>33</v>
      </c>
      <c r="AC35" s="10"/>
      <c r="AD35" s="10" t="s">
        <v>34</v>
      </c>
      <c r="AE35" s="10" t="s">
        <v>35</v>
      </c>
      <c r="AF35" s="11" t="s">
        <v>32</v>
      </c>
      <c r="AG35" s="10" t="s">
        <v>33</v>
      </c>
      <c r="AH35" s="10"/>
      <c r="AI35" s="10" t="s">
        <v>34</v>
      </c>
      <c r="AJ35" s="10" t="s">
        <v>35</v>
      </c>
      <c r="AK35" s="11" t="s">
        <v>32</v>
      </c>
      <c r="AL35" s="10" t="s">
        <v>33</v>
      </c>
      <c r="AM35" s="10"/>
      <c r="AN35" s="10" t="s">
        <v>34</v>
      </c>
      <c r="AO35" s="10" t="s">
        <v>35</v>
      </c>
      <c r="AP35" s="11" t="s">
        <v>32</v>
      </c>
      <c r="AQ35" s="10" t="s">
        <v>33</v>
      </c>
      <c r="AR35" s="10"/>
      <c r="AS35" s="10" t="s">
        <v>34</v>
      </c>
      <c r="AT35" s="10" t="s">
        <v>35</v>
      </c>
      <c r="AU35" s="11" t="s">
        <v>32</v>
      </c>
      <c r="AV35" s="10" t="s">
        <v>33</v>
      </c>
      <c r="AW35" s="10"/>
      <c r="AX35" s="10" t="s">
        <v>34</v>
      </c>
      <c r="AY35" s="10" t="s">
        <v>35</v>
      </c>
      <c r="AZ35" s="11" t="s">
        <v>32</v>
      </c>
      <c r="BA35" s="10" t="s">
        <v>33</v>
      </c>
      <c r="BB35" s="10"/>
      <c r="BC35" s="10" t="s">
        <v>34</v>
      </c>
      <c r="BD35" s="10" t="s">
        <v>35</v>
      </c>
      <c r="BE35" s="11" t="s">
        <v>32</v>
      </c>
      <c r="BF35" s="10" t="s">
        <v>33</v>
      </c>
      <c r="BG35" s="10"/>
      <c r="BH35" s="10" t="s">
        <v>34</v>
      </c>
      <c r="BI35" s="10" t="s">
        <v>35</v>
      </c>
      <c r="BJ35" s="11" t="s">
        <v>32</v>
      </c>
      <c r="BK35" s="10" t="s">
        <v>33</v>
      </c>
      <c r="BL35" s="10"/>
      <c r="BM35" s="10" t="s">
        <v>34</v>
      </c>
      <c r="BN35" s="10" t="s">
        <v>35</v>
      </c>
      <c r="BO35" s="11" t="s">
        <v>32</v>
      </c>
      <c r="BP35" s="10" t="s">
        <v>33</v>
      </c>
      <c r="BQ35" s="10"/>
      <c r="BR35" s="10" t="s">
        <v>34</v>
      </c>
      <c r="BS35" s="10" t="s">
        <v>35</v>
      </c>
      <c r="BT35" s="11" t="s">
        <v>32</v>
      </c>
      <c r="BU35" s="10" t="s">
        <v>33</v>
      </c>
      <c r="BV35" s="10"/>
      <c r="BW35" s="10" t="s">
        <v>34</v>
      </c>
      <c r="BX35" s="24" t="s">
        <v>35</v>
      </c>
    </row>
    <row r="36" spans="1:76" ht="15" thickBot="1" x14ac:dyDescent="0.4">
      <c r="A36" s="10" t="s">
        <v>80</v>
      </c>
      <c r="B36" s="11" t="s">
        <v>46</v>
      </c>
      <c r="C36" s="11" t="s">
        <v>81</v>
      </c>
      <c r="D36" s="11">
        <v>4.1190000000000003E-3</v>
      </c>
      <c r="E36" s="20">
        <v>45000</v>
      </c>
      <c r="F36" s="11">
        <v>1.9228703703703705</v>
      </c>
      <c r="G36" s="14"/>
      <c r="H36" s="16">
        <v>487.58</v>
      </c>
      <c r="I36" s="15" t="s">
        <v>26</v>
      </c>
      <c r="J36" s="16">
        <v>29.760999999999999</v>
      </c>
      <c r="K36" s="16">
        <v>19.453399999999998</v>
      </c>
      <c r="L36" s="14"/>
      <c r="M36" s="15"/>
      <c r="N36" s="15" t="s">
        <v>26</v>
      </c>
      <c r="O36" s="15"/>
      <c r="P36" s="16">
        <v>16.147099999999998</v>
      </c>
      <c r="Q36" s="14"/>
      <c r="R36" s="15"/>
      <c r="S36" s="15" t="s">
        <v>26</v>
      </c>
      <c r="T36" s="15"/>
      <c r="U36" s="16">
        <v>3.25319</v>
      </c>
      <c r="V36" s="14"/>
      <c r="W36" s="16">
        <v>123.01</v>
      </c>
      <c r="X36" s="15" t="s">
        <v>26</v>
      </c>
      <c r="Y36" s="16">
        <v>5.1330999999999998</v>
      </c>
      <c r="Z36" s="16">
        <v>9.2828499999999998</v>
      </c>
      <c r="AA36" s="14"/>
      <c r="AB36" s="16">
        <v>3.9379</v>
      </c>
      <c r="AC36" s="15" t="s">
        <v>26</v>
      </c>
      <c r="AD36" s="16">
        <v>2.6741000000000001</v>
      </c>
      <c r="AE36" s="16">
        <v>2.83819</v>
      </c>
      <c r="AF36" s="14"/>
      <c r="AG36" s="16">
        <v>112.79</v>
      </c>
      <c r="AH36" s="15" t="s">
        <v>26</v>
      </c>
      <c r="AI36" s="16">
        <v>1.7757000000000001</v>
      </c>
      <c r="AJ36" s="16">
        <v>1.57101</v>
      </c>
      <c r="AK36" s="14"/>
      <c r="AL36" s="16">
        <v>109.08</v>
      </c>
      <c r="AM36" s="15" t="s">
        <v>26</v>
      </c>
      <c r="AN36" s="16">
        <v>5.7816000000000001</v>
      </c>
      <c r="AO36" s="16">
        <v>24.546399999999998</v>
      </c>
      <c r="AP36" s="14"/>
      <c r="AQ36" s="16">
        <v>55.301000000000002</v>
      </c>
      <c r="AR36" s="15" t="s">
        <v>26</v>
      </c>
      <c r="AS36" s="16">
        <v>5.3948</v>
      </c>
      <c r="AT36" s="16">
        <v>7.5376799999999999</v>
      </c>
      <c r="AU36" s="14"/>
      <c r="AV36" s="15"/>
      <c r="AW36" s="15" t="s">
        <v>26</v>
      </c>
      <c r="AX36" s="15"/>
      <c r="AY36" s="15"/>
      <c r="AZ36" s="14"/>
      <c r="BA36" s="15"/>
      <c r="BB36" s="15" t="s">
        <v>26</v>
      </c>
      <c r="BC36" s="15"/>
      <c r="BD36" s="15"/>
      <c r="BE36" s="14"/>
      <c r="BF36" s="16">
        <v>54.353000000000002</v>
      </c>
      <c r="BG36" s="15" t="s">
        <v>26</v>
      </c>
      <c r="BH36" s="16">
        <v>2.82</v>
      </c>
      <c r="BI36" s="16">
        <v>3.84023</v>
      </c>
      <c r="BJ36" s="14"/>
      <c r="BK36" s="16">
        <v>51.521999999999998</v>
      </c>
      <c r="BL36" s="15" t="s">
        <v>26</v>
      </c>
      <c r="BM36" s="16">
        <v>2.7745000000000002</v>
      </c>
      <c r="BN36" s="16">
        <v>9.9977300000000007</v>
      </c>
      <c r="BO36" s="14"/>
      <c r="BP36" s="16">
        <v>111.41</v>
      </c>
      <c r="BQ36" s="15" t="s">
        <v>26</v>
      </c>
      <c r="BR36" s="16">
        <v>6.0617000000000001</v>
      </c>
      <c r="BS36" s="16">
        <v>23.5322</v>
      </c>
      <c r="BT36" s="14"/>
      <c r="BU36" s="16">
        <v>83.597999999999999</v>
      </c>
      <c r="BV36" s="15" t="s">
        <v>26</v>
      </c>
      <c r="BW36" s="16">
        <v>2.6092</v>
      </c>
      <c r="BX36" s="17">
        <v>10.6584</v>
      </c>
    </row>
    <row r="37" spans="1:76" ht="15" thickBot="1" x14ac:dyDescent="0.4"/>
    <row r="38" spans="1:76" ht="15" thickBot="1" x14ac:dyDescent="0.4">
      <c r="G38" s="13" t="s">
        <v>18</v>
      </c>
      <c r="H38" s="9" t="s">
        <v>24</v>
      </c>
      <c r="I38" s="9"/>
      <c r="J38" s="9"/>
      <c r="K38" s="9"/>
      <c r="L38" s="13" t="s">
        <v>1</v>
      </c>
      <c r="M38" s="9" t="s">
        <v>23</v>
      </c>
      <c r="N38" s="9"/>
      <c r="O38" s="9"/>
      <c r="P38" s="9"/>
      <c r="Q38" s="13" t="s">
        <v>2</v>
      </c>
      <c r="R38" s="9" t="s">
        <v>36</v>
      </c>
      <c r="S38" s="9"/>
      <c r="T38" s="9"/>
      <c r="U38" s="9"/>
      <c r="V38" s="13" t="s">
        <v>7</v>
      </c>
      <c r="W38" s="9" t="s">
        <v>38</v>
      </c>
      <c r="X38" s="9"/>
      <c r="Y38" s="9"/>
      <c r="Z38" s="9"/>
      <c r="AA38" s="13" t="s">
        <v>9</v>
      </c>
      <c r="AB38" s="9" t="s">
        <v>73</v>
      </c>
      <c r="AC38" s="9"/>
      <c r="AD38" s="9"/>
      <c r="AE38" s="9"/>
      <c r="AF38" s="13" t="s">
        <v>16</v>
      </c>
      <c r="AG38" s="9" t="s">
        <v>39</v>
      </c>
      <c r="AH38" s="9"/>
      <c r="AI38" s="9"/>
      <c r="AJ38" s="9"/>
      <c r="AK38" s="13" t="s">
        <v>17</v>
      </c>
      <c r="AL38" s="9" t="s">
        <v>40</v>
      </c>
      <c r="AM38" s="9"/>
      <c r="AN38" s="9"/>
      <c r="AO38" s="9"/>
      <c r="AP38" s="13" t="s">
        <v>19</v>
      </c>
      <c r="AQ38" s="9" t="s">
        <v>41</v>
      </c>
      <c r="AR38" s="9"/>
      <c r="AS38" s="9"/>
      <c r="AT38" s="9"/>
      <c r="AU38" s="13" t="s">
        <v>63</v>
      </c>
      <c r="AV38" s="9" t="s">
        <v>64</v>
      </c>
      <c r="AW38" s="9"/>
      <c r="AX38" s="9"/>
      <c r="AY38" s="9"/>
      <c r="AZ38" s="13" t="s">
        <v>65</v>
      </c>
      <c r="BA38" s="9" t="s">
        <v>66</v>
      </c>
      <c r="BB38" s="9"/>
      <c r="BC38" s="9"/>
      <c r="BD38" s="9"/>
      <c r="BE38" s="13" t="s">
        <v>21</v>
      </c>
      <c r="BF38" s="9" t="s">
        <v>42</v>
      </c>
      <c r="BG38" s="9"/>
      <c r="BH38" s="9"/>
      <c r="BI38" s="9"/>
      <c r="BJ38" s="13" t="s">
        <v>22</v>
      </c>
      <c r="BK38" s="9" t="s">
        <v>43</v>
      </c>
      <c r="BL38" s="9"/>
      <c r="BM38" s="9"/>
      <c r="BN38" s="9"/>
      <c r="BO38" s="13" t="s">
        <v>44</v>
      </c>
      <c r="BP38" s="9" t="s">
        <v>45</v>
      </c>
      <c r="BQ38" s="9"/>
      <c r="BR38" s="9"/>
      <c r="BS38" s="9"/>
      <c r="BT38" s="13" t="s">
        <v>47</v>
      </c>
      <c r="BU38" s="9" t="s">
        <v>48</v>
      </c>
      <c r="BV38" s="9"/>
      <c r="BW38" s="9"/>
      <c r="BX38" s="12"/>
    </row>
    <row r="39" spans="1:76" ht="15" thickBot="1" x14ac:dyDescent="0.4">
      <c r="A39" s="13" t="s">
        <v>30</v>
      </c>
      <c r="B39" s="13" t="s">
        <v>29</v>
      </c>
      <c r="C39" s="13" t="s">
        <v>31</v>
      </c>
      <c r="D39" s="13" t="s">
        <v>27</v>
      </c>
      <c r="E39" s="13" t="s">
        <v>25</v>
      </c>
      <c r="F39" s="13" t="s">
        <v>28</v>
      </c>
      <c r="G39" s="13" t="s">
        <v>32</v>
      </c>
      <c r="H39" s="9" t="s">
        <v>33</v>
      </c>
      <c r="I39" s="9"/>
      <c r="J39" s="9" t="s">
        <v>34</v>
      </c>
      <c r="K39" s="9" t="s">
        <v>35</v>
      </c>
      <c r="L39" s="13" t="s">
        <v>32</v>
      </c>
      <c r="M39" s="9" t="s">
        <v>33</v>
      </c>
      <c r="N39" s="9"/>
      <c r="O39" s="9" t="s">
        <v>34</v>
      </c>
      <c r="P39" s="9" t="s">
        <v>35</v>
      </c>
      <c r="Q39" s="13" t="s">
        <v>32</v>
      </c>
      <c r="R39" s="9" t="s">
        <v>33</v>
      </c>
      <c r="S39" s="9"/>
      <c r="T39" s="9" t="s">
        <v>34</v>
      </c>
      <c r="U39" s="9" t="s">
        <v>35</v>
      </c>
      <c r="V39" s="13" t="s">
        <v>32</v>
      </c>
      <c r="W39" s="9" t="s">
        <v>33</v>
      </c>
      <c r="X39" s="9"/>
      <c r="Y39" s="9" t="s">
        <v>34</v>
      </c>
      <c r="Z39" s="9" t="s">
        <v>35</v>
      </c>
      <c r="AA39" s="13" t="s">
        <v>32</v>
      </c>
      <c r="AB39" s="9" t="s">
        <v>33</v>
      </c>
      <c r="AC39" s="9"/>
      <c r="AD39" s="9" t="s">
        <v>34</v>
      </c>
      <c r="AE39" s="9" t="s">
        <v>35</v>
      </c>
      <c r="AF39" s="13" t="s">
        <v>32</v>
      </c>
      <c r="AG39" s="9" t="s">
        <v>33</v>
      </c>
      <c r="AH39" s="9"/>
      <c r="AI39" s="9" t="s">
        <v>34</v>
      </c>
      <c r="AJ39" s="9" t="s">
        <v>35</v>
      </c>
      <c r="AK39" s="13" t="s">
        <v>32</v>
      </c>
      <c r="AL39" s="9" t="s">
        <v>33</v>
      </c>
      <c r="AM39" s="9"/>
      <c r="AN39" s="9" t="s">
        <v>34</v>
      </c>
      <c r="AO39" s="9" t="s">
        <v>35</v>
      </c>
      <c r="AP39" s="13" t="s">
        <v>32</v>
      </c>
      <c r="AQ39" s="9" t="s">
        <v>33</v>
      </c>
      <c r="AR39" s="9"/>
      <c r="AS39" s="9" t="s">
        <v>34</v>
      </c>
      <c r="AT39" s="9" t="s">
        <v>35</v>
      </c>
      <c r="AU39" s="13" t="s">
        <v>32</v>
      </c>
      <c r="AV39" s="9" t="s">
        <v>33</v>
      </c>
      <c r="AW39" s="9"/>
      <c r="AX39" s="9" t="s">
        <v>34</v>
      </c>
      <c r="AY39" s="9" t="s">
        <v>35</v>
      </c>
      <c r="AZ39" s="13" t="s">
        <v>32</v>
      </c>
      <c r="BA39" s="9" t="s">
        <v>33</v>
      </c>
      <c r="BB39" s="9"/>
      <c r="BC39" s="9" t="s">
        <v>34</v>
      </c>
      <c r="BD39" s="9" t="s">
        <v>35</v>
      </c>
      <c r="BE39" s="13" t="s">
        <v>32</v>
      </c>
      <c r="BF39" s="9" t="s">
        <v>33</v>
      </c>
      <c r="BG39" s="9"/>
      <c r="BH39" s="9" t="s">
        <v>34</v>
      </c>
      <c r="BI39" s="9" t="s">
        <v>35</v>
      </c>
      <c r="BJ39" s="13" t="s">
        <v>32</v>
      </c>
      <c r="BK39" s="9" t="s">
        <v>33</v>
      </c>
      <c r="BL39" s="9"/>
      <c r="BM39" s="9" t="s">
        <v>34</v>
      </c>
      <c r="BN39" s="9" t="s">
        <v>35</v>
      </c>
      <c r="BO39" s="13" t="s">
        <v>32</v>
      </c>
      <c r="BP39" s="9" t="s">
        <v>33</v>
      </c>
      <c r="BQ39" s="9"/>
      <c r="BR39" s="9" t="s">
        <v>34</v>
      </c>
      <c r="BS39" s="9" t="s">
        <v>35</v>
      </c>
      <c r="BT39" s="13" t="s">
        <v>32</v>
      </c>
      <c r="BU39" s="9" t="s">
        <v>33</v>
      </c>
      <c r="BV39" s="9"/>
      <c r="BW39" s="9" t="s">
        <v>34</v>
      </c>
      <c r="BX39" s="12" t="s">
        <v>35</v>
      </c>
    </row>
    <row r="40" spans="1:76" ht="15" thickBot="1" x14ac:dyDescent="0.4">
      <c r="A40" s="13" t="s">
        <v>80</v>
      </c>
      <c r="B40" s="13" t="s">
        <v>46</v>
      </c>
      <c r="C40" s="13" t="s">
        <v>81</v>
      </c>
      <c r="D40" s="13">
        <v>4.1190000000000003E-3</v>
      </c>
      <c r="E40" s="21">
        <v>45000</v>
      </c>
      <c r="F40" s="13">
        <v>1.9228703703703705</v>
      </c>
      <c r="G40" s="11"/>
      <c r="H40" s="18">
        <v>487.58</v>
      </c>
      <c r="I40" s="10" t="s">
        <v>26</v>
      </c>
      <c r="J40" s="18">
        <v>29.760999999999999</v>
      </c>
      <c r="K40" s="18">
        <v>19.453399999999998</v>
      </c>
      <c r="L40" s="11"/>
      <c r="M40" s="10"/>
      <c r="N40" s="10" t="s">
        <v>26</v>
      </c>
      <c r="O40" s="10"/>
      <c r="P40" s="18">
        <v>16.147099999999998</v>
      </c>
      <c r="Q40" s="11"/>
      <c r="R40" s="10"/>
      <c r="S40" s="10" t="s">
        <v>26</v>
      </c>
      <c r="T40" s="10"/>
      <c r="U40" s="18">
        <v>3.25319</v>
      </c>
      <c r="V40" s="11"/>
      <c r="W40" s="18">
        <v>123.01</v>
      </c>
      <c r="X40" s="10" t="s">
        <v>26</v>
      </c>
      <c r="Y40" s="18">
        <v>5.1330999999999998</v>
      </c>
      <c r="Z40" s="18">
        <v>9.2828499999999998</v>
      </c>
      <c r="AA40" s="11"/>
      <c r="AB40" s="18">
        <v>3.9379</v>
      </c>
      <c r="AC40" s="10" t="s">
        <v>26</v>
      </c>
      <c r="AD40" s="18">
        <v>2.6741000000000001</v>
      </c>
      <c r="AE40" s="18">
        <v>2.83819</v>
      </c>
      <c r="AF40" s="11"/>
      <c r="AG40" s="18">
        <v>112.79</v>
      </c>
      <c r="AH40" s="10" t="s">
        <v>26</v>
      </c>
      <c r="AI40" s="18">
        <v>1.7757000000000001</v>
      </c>
      <c r="AJ40" s="18">
        <v>1.57101</v>
      </c>
      <c r="AK40" s="11"/>
      <c r="AL40" s="18">
        <v>109.08</v>
      </c>
      <c r="AM40" s="10" t="s">
        <v>26</v>
      </c>
      <c r="AN40" s="18">
        <v>5.7816000000000001</v>
      </c>
      <c r="AO40" s="18">
        <v>24.546399999999998</v>
      </c>
      <c r="AP40" s="11"/>
      <c r="AQ40" s="18">
        <v>55.301000000000002</v>
      </c>
      <c r="AR40" s="10" t="s">
        <v>26</v>
      </c>
      <c r="AS40" s="18">
        <v>5.3948</v>
      </c>
      <c r="AT40" s="18">
        <v>7.5376799999999999</v>
      </c>
      <c r="AU40" s="11"/>
      <c r="AV40" s="10"/>
      <c r="AW40" s="10" t="s">
        <v>26</v>
      </c>
      <c r="AX40" s="10"/>
      <c r="AY40" s="10"/>
      <c r="AZ40" s="11"/>
      <c r="BA40" s="10"/>
      <c r="BB40" s="10" t="s">
        <v>26</v>
      </c>
      <c r="BC40" s="10"/>
      <c r="BD40" s="10"/>
      <c r="BE40" s="11"/>
      <c r="BF40" s="18">
        <v>54.353000000000002</v>
      </c>
      <c r="BG40" s="10" t="s">
        <v>26</v>
      </c>
      <c r="BH40" s="18">
        <v>2.82</v>
      </c>
      <c r="BI40" s="18">
        <v>3.84023</v>
      </c>
      <c r="BJ40" s="11"/>
      <c r="BK40" s="18">
        <v>51.521999999999998</v>
      </c>
      <c r="BL40" s="10" t="s">
        <v>26</v>
      </c>
      <c r="BM40" s="18">
        <v>2.7745000000000002</v>
      </c>
      <c r="BN40" s="18">
        <v>9.9977300000000007</v>
      </c>
      <c r="BO40" s="11"/>
      <c r="BP40" s="18">
        <v>111.41</v>
      </c>
      <c r="BQ40" s="10" t="s">
        <v>26</v>
      </c>
      <c r="BR40" s="18">
        <v>6.0617000000000001</v>
      </c>
      <c r="BS40" s="18">
        <v>23.5322</v>
      </c>
      <c r="BT40" s="11"/>
      <c r="BU40" s="18">
        <v>83.597999999999999</v>
      </c>
      <c r="BV40" s="10" t="s">
        <v>26</v>
      </c>
      <c r="BW40" s="18">
        <v>2.6092</v>
      </c>
      <c r="BX40" s="19">
        <v>10.6584</v>
      </c>
    </row>
    <row r="41" spans="1:76" ht="15" thickBot="1" x14ac:dyDescent="0.4">
      <c r="A41" s="10" t="s">
        <v>80</v>
      </c>
      <c r="B41" s="11" t="s">
        <v>46</v>
      </c>
      <c r="C41" s="11" t="s">
        <v>82</v>
      </c>
      <c r="D41" s="11">
        <v>4.1189999999999997E-2</v>
      </c>
      <c r="E41" s="20">
        <v>45000</v>
      </c>
      <c r="F41" s="11">
        <v>4.8820833333333331</v>
      </c>
      <c r="G41" s="14"/>
      <c r="H41" s="16">
        <v>47.909910000000004</v>
      </c>
      <c r="I41" s="15" t="s">
        <v>26</v>
      </c>
      <c r="J41" s="16">
        <v>2.4449040000000002</v>
      </c>
      <c r="K41" s="15"/>
      <c r="L41" s="14"/>
      <c r="M41" s="16">
        <v>5.539015</v>
      </c>
      <c r="N41" s="15" t="s">
        <v>26</v>
      </c>
      <c r="O41" s="16">
        <v>0.84775370000000005</v>
      </c>
      <c r="P41" s="16">
        <v>1.18964</v>
      </c>
      <c r="Q41" s="14"/>
      <c r="R41" s="15"/>
      <c r="S41" s="15" t="s">
        <v>26</v>
      </c>
      <c r="T41" s="15"/>
      <c r="U41" s="15"/>
      <c r="V41" s="14"/>
      <c r="W41" s="16">
        <v>9.9912320000000001</v>
      </c>
      <c r="X41" s="15" t="s">
        <v>26</v>
      </c>
      <c r="Y41" s="16">
        <v>0.72356659999999995</v>
      </c>
      <c r="Z41" s="15"/>
      <c r="AA41" s="14"/>
      <c r="AB41" s="15"/>
      <c r="AC41" s="15" t="s">
        <v>26</v>
      </c>
      <c r="AD41" s="15"/>
      <c r="AE41" s="15"/>
      <c r="AF41" s="14"/>
      <c r="AG41" s="16">
        <v>11.415290000000001</v>
      </c>
      <c r="AH41" s="15" t="s">
        <v>26</v>
      </c>
      <c r="AI41" s="16">
        <v>0.92507099999999998</v>
      </c>
      <c r="AJ41" s="15"/>
      <c r="AK41" s="14"/>
      <c r="AL41" s="16">
        <v>10.9772</v>
      </c>
      <c r="AM41" s="15" t="s">
        <v>26</v>
      </c>
      <c r="AN41" s="16">
        <v>0.74363449999999998</v>
      </c>
      <c r="AO41" s="15"/>
      <c r="AP41" s="14"/>
      <c r="AQ41" s="16">
        <v>4.7560969999999996</v>
      </c>
      <c r="AR41" s="15" t="s">
        <v>26</v>
      </c>
      <c r="AS41" s="16">
        <v>0.40945009999999998</v>
      </c>
      <c r="AT41" s="15"/>
      <c r="AU41" s="14"/>
      <c r="AV41" s="15"/>
      <c r="AW41" s="15" t="s">
        <v>26</v>
      </c>
      <c r="AX41" s="15"/>
      <c r="AY41" s="15"/>
      <c r="AZ41" s="14"/>
      <c r="BA41" s="15"/>
      <c r="BB41" s="15" t="s">
        <v>26</v>
      </c>
      <c r="BC41" s="15"/>
      <c r="BD41" s="15"/>
      <c r="BE41" s="14"/>
      <c r="BF41" s="16">
        <v>4.9585549999999996</v>
      </c>
      <c r="BG41" s="15" t="s">
        <v>26</v>
      </c>
      <c r="BH41" s="16">
        <v>0.38573740000000001</v>
      </c>
      <c r="BI41" s="15"/>
      <c r="BJ41" s="14"/>
      <c r="BK41" s="16">
        <v>4.583812</v>
      </c>
      <c r="BL41" s="15" t="s">
        <v>26</v>
      </c>
      <c r="BM41" s="16">
        <v>0.40434160000000002</v>
      </c>
      <c r="BN41" s="15"/>
      <c r="BO41" s="14"/>
      <c r="BP41" s="16">
        <v>4.3122850000000001</v>
      </c>
      <c r="BQ41" s="15" t="s">
        <v>26</v>
      </c>
      <c r="BR41" s="16">
        <v>0.74403430000000004</v>
      </c>
      <c r="BS41" s="15"/>
      <c r="BT41" s="14"/>
      <c r="BU41" s="16">
        <v>8.6862829999999995</v>
      </c>
      <c r="BV41" s="15" t="s">
        <v>26</v>
      </c>
      <c r="BW41" s="16">
        <v>0.91138189999999997</v>
      </c>
      <c r="BX41" s="17">
        <v>0.76016799999999995</v>
      </c>
    </row>
    <row r="42" spans="1:76" ht="15" thickBot="1" x14ac:dyDescent="0.4"/>
    <row r="43" spans="1:76" ht="15" thickBot="1" x14ac:dyDescent="0.4">
      <c r="G43" s="13" t="s">
        <v>18</v>
      </c>
      <c r="H43" s="9" t="s">
        <v>24</v>
      </c>
      <c r="I43" s="9"/>
      <c r="J43" s="9"/>
      <c r="K43" s="9"/>
      <c r="L43" s="13" t="s">
        <v>1</v>
      </c>
      <c r="M43" s="9" t="s">
        <v>23</v>
      </c>
      <c r="N43" s="9"/>
      <c r="O43" s="9"/>
      <c r="P43" s="9"/>
      <c r="Q43" s="13" t="s">
        <v>2</v>
      </c>
      <c r="R43" s="9" t="s">
        <v>36</v>
      </c>
      <c r="S43" s="9"/>
      <c r="T43" s="9"/>
      <c r="U43" s="9"/>
      <c r="V43" s="13" t="s">
        <v>7</v>
      </c>
      <c r="W43" s="9" t="s">
        <v>38</v>
      </c>
      <c r="X43" s="9"/>
      <c r="Y43" s="9"/>
      <c r="Z43" s="9"/>
      <c r="AA43" s="13" t="s">
        <v>9</v>
      </c>
      <c r="AB43" s="9" t="s">
        <v>73</v>
      </c>
      <c r="AC43" s="9"/>
      <c r="AD43" s="9"/>
      <c r="AE43" s="9"/>
      <c r="AF43" s="13" t="s">
        <v>16</v>
      </c>
      <c r="AG43" s="9" t="s">
        <v>39</v>
      </c>
      <c r="AH43" s="9"/>
      <c r="AI43" s="9"/>
      <c r="AJ43" s="9"/>
      <c r="AK43" s="13" t="s">
        <v>17</v>
      </c>
      <c r="AL43" s="9" t="s">
        <v>40</v>
      </c>
      <c r="AM43" s="9"/>
      <c r="AN43" s="9"/>
      <c r="AO43" s="9"/>
      <c r="AP43" s="13" t="s">
        <v>19</v>
      </c>
      <c r="AQ43" s="9" t="s">
        <v>41</v>
      </c>
      <c r="AR43" s="9"/>
      <c r="AS43" s="9"/>
      <c r="AT43" s="9"/>
      <c r="AU43" s="13" t="s">
        <v>63</v>
      </c>
      <c r="AV43" s="9" t="s">
        <v>64</v>
      </c>
      <c r="AW43" s="9"/>
      <c r="AX43" s="9"/>
      <c r="AY43" s="9"/>
      <c r="AZ43" s="13" t="s">
        <v>65</v>
      </c>
      <c r="BA43" s="9" t="s">
        <v>66</v>
      </c>
      <c r="BB43" s="9"/>
      <c r="BC43" s="9"/>
      <c r="BD43" s="9"/>
      <c r="BE43" s="13" t="s">
        <v>21</v>
      </c>
      <c r="BF43" s="9" t="s">
        <v>42</v>
      </c>
      <c r="BG43" s="9"/>
      <c r="BH43" s="9"/>
      <c r="BI43" s="9"/>
      <c r="BJ43" s="13" t="s">
        <v>22</v>
      </c>
      <c r="BK43" s="9" t="s">
        <v>43</v>
      </c>
      <c r="BL43" s="9"/>
      <c r="BM43" s="9"/>
      <c r="BN43" s="9"/>
      <c r="BO43" s="13" t="s">
        <v>44</v>
      </c>
      <c r="BP43" s="9" t="s">
        <v>45</v>
      </c>
      <c r="BQ43" s="9"/>
      <c r="BR43" s="9"/>
      <c r="BS43" s="9"/>
      <c r="BT43" s="13" t="s">
        <v>47</v>
      </c>
      <c r="BU43" s="9" t="s">
        <v>48</v>
      </c>
      <c r="BV43" s="9"/>
      <c r="BW43" s="9"/>
      <c r="BX43" s="12"/>
    </row>
    <row r="44" spans="1:76" ht="15.5" customHeight="1" thickBot="1" x14ac:dyDescent="0.4">
      <c r="A44" s="13" t="s">
        <v>30</v>
      </c>
      <c r="B44" s="13" t="s">
        <v>29</v>
      </c>
      <c r="C44" s="13" t="s">
        <v>31</v>
      </c>
      <c r="D44" s="13" t="s">
        <v>27</v>
      </c>
      <c r="E44" s="13" t="s">
        <v>25</v>
      </c>
      <c r="F44" s="13" t="s">
        <v>28</v>
      </c>
      <c r="G44" s="11" t="s">
        <v>32</v>
      </c>
      <c r="H44" s="10" t="s">
        <v>33</v>
      </c>
      <c r="I44" s="10"/>
      <c r="J44" s="10" t="s">
        <v>34</v>
      </c>
      <c r="K44" s="10" t="s">
        <v>35</v>
      </c>
      <c r="L44" s="11" t="s">
        <v>32</v>
      </c>
      <c r="M44" s="10" t="s">
        <v>33</v>
      </c>
      <c r="N44" s="10"/>
      <c r="O44" s="10" t="s">
        <v>34</v>
      </c>
      <c r="P44" s="10" t="s">
        <v>35</v>
      </c>
      <c r="Q44" s="11" t="s">
        <v>32</v>
      </c>
      <c r="R44" s="10" t="s">
        <v>33</v>
      </c>
      <c r="S44" s="10"/>
      <c r="T44" s="10" t="s">
        <v>34</v>
      </c>
      <c r="U44" s="10" t="s">
        <v>35</v>
      </c>
      <c r="V44" s="11" t="s">
        <v>32</v>
      </c>
      <c r="W44" s="10" t="s">
        <v>33</v>
      </c>
      <c r="X44" s="10"/>
      <c r="Y44" s="10" t="s">
        <v>34</v>
      </c>
      <c r="Z44" s="10" t="s">
        <v>35</v>
      </c>
      <c r="AA44" s="11" t="s">
        <v>32</v>
      </c>
      <c r="AB44" s="10" t="s">
        <v>33</v>
      </c>
      <c r="AC44" s="10"/>
      <c r="AD44" s="10" t="s">
        <v>34</v>
      </c>
      <c r="AE44" s="10" t="s">
        <v>35</v>
      </c>
      <c r="AF44" s="11" t="s">
        <v>32</v>
      </c>
      <c r="AG44" s="10" t="s">
        <v>33</v>
      </c>
      <c r="AH44" s="10"/>
      <c r="AI44" s="10" t="s">
        <v>34</v>
      </c>
      <c r="AJ44" s="10" t="s">
        <v>35</v>
      </c>
      <c r="AK44" s="11" t="s">
        <v>32</v>
      </c>
      <c r="AL44" s="10" t="s">
        <v>33</v>
      </c>
      <c r="AM44" s="10"/>
      <c r="AN44" s="10" t="s">
        <v>34</v>
      </c>
      <c r="AO44" s="10" t="s">
        <v>35</v>
      </c>
      <c r="AP44" s="11" t="s">
        <v>32</v>
      </c>
      <c r="AQ44" s="10" t="s">
        <v>33</v>
      </c>
      <c r="AR44" s="10"/>
      <c r="AS44" s="10" t="s">
        <v>34</v>
      </c>
      <c r="AT44" s="10" t="s">
        <v>35</v>
      </c>
      <c r="AU44" s="11" t="s">
        <v>32</v>
      </c>
      <c r="AV44" s="10" t="s">
        <v>33</v>
      </c>
      <c r="AW44" s="10"/>
      <c r="AX44" s="10" t="s">
        <v>34</v>
      </c>
      <c r="AY44" s="10" t="s">
        <v>35</v>
      </c>
      <c r="AZ44" s="11" t="s">
        <v>32</v>
      </c>
      <c r="BA44" s="10" t="s">
        <v>33</v>
      </c>
      <c r="BB44" s="10"/>
      <c r="BC44" s="10" t="s">
        <v>34</v>
      </c>
      <c r="BD44" s="10" t="s">
        <v>35</v>
      </c>
      <c r="BE44" s="11" t="s">
        <v>32</v>
      </c>
      <c r="BF44" s="10" t="s">
        <v>33</v>
      </c>
      <c r="BG44" s="10"/>
      <c r="BH44" s="10" t="s">
        <v>34</v>
      </c>
      <c r="BI44" s="10" t="s">
        <v>35</v>
      </c>
      <c r="BJ44" s="11" t="s">
        <v>32</v>
      </c>
      <c r="BK44" s="10" t="s">
        <v>33</v>
      </c>
      <c r="BL44" s="10"/>
      <c r="BM44" s="10" t="s">
        <v>34</v>
      </c>
      <c r="BN44" s="10" t="s">
        <v>35</v>
      </c>
      <c r="BO44" s="11" t="s">
        <v>32</v>
      </c>
      <c r="BP44" s="10" t="s">
        <v>33</v>
      </c>
      <c r="BQ44" s="10"/>
      <c r="BR44" s="10" t="s">
        <v>34</v>
      </c>
      <c r="BS44" s="10" t="s">
        <v>35</v>
      </c>
      <c r="BT44" s="11" t="s">
        <v>32</v>
      </c>
      <c r="BU44" s="10" t="s">
        <v>33</v>
      </c>
      <c r="BV44" s="10"/>
      <c r="BW44" s="10" t="s">
        <v>34</v>
      </c>
      <c r="BX44" s="24" t="s">
        <v>35</v>
      </c>
    </row>
    <row r="45" spans="1:76" ht="15" thickBot="1" x14ac:dyDescent="0.4">
      <c r="A45" s="10" t="s">
        <v>80</v>
      </c>
      <c r="B45" s="11" t="s">
        <v>46</v>
      </c>
      <c r="C45" s="11" t="s">
        <v>81</v>
      </c>
      <c r="D45" s="11">
        <v>4.1190000000000003E-3</v>
      </c>
      <c r="E45" s="20">
        <v>45000</v>
      </c>
      <c r="F45" s="11">
        <v>1.9228703703703705</v>
      </c>
      <c r="G45" s="14"/>
      <c r="H45" s="16">
        <v>487.58</v>
      </c>
      <c r="I45" s="15" t="s">
        <v>26</v>
      </c>
      <c r="J45" s="16">
        <v>29.760999999999999</v>
      </c>
      <c r="K45" s="16">
        <v>19.453399999999998</v>
      </c>
      <c r="L45" s="14"/>
      <c r="M45" s="15"/>
      <c r="N45" s="15" t="s">
        <v>26</v>
      </c>
      <c r="O45" s="15"/>
      <c r="P45" s="16">
        <v>16.147099999999998</v>
      </c>
      <c r="Q45" s="14"/>
      <c r="R45" s="15"/>
      <c r="S45" s="15" t="s">
        <v>26</v>
      </c>
      <c r="T45" s="15"/>
      <c r="U45" s="16">
        <v>3.25319</v>
      </c>
      <c r="V45" s="14"/>
      <c r="W45" s="16">
        <v>123.01</v>
      </c>
      <c r="X45" s="15" t="s">
        <v>26</v>
      </c>
      <c r="Y45" s="16">
        <v>5.1330999999999998</v>
      </c>
      <c r="Z45" s="16">
        <v>9.2828499999999998</v>
      </c>
      <c r="AA45" s="14"/>
      <c r="AB45" s="16">
        <v>3.9379</v>
      </c>
      <c r="AC45" s="15" t="s">
        <v>26</v>
      </c>
      <c r="AD45" s="16">
        <v>2.6741000000000001</v>
      </c>
      <c r="AE45" s="16">
        <v>2.83819</v>
      </c>
      <c r="AF45" s="14"/>
      <c r="AG45" s="16">
        <v>112.79</v>
      </c>
      <c r="AH45" s="15" t="s">
        <v>26</v>
      </c>
      <c r="AI45" s="16">
        <v>1.7757000000000001</v>
      </c>
      <c r="AJ45" s="16">
        <v>1.57101</v>
      </c>
      <c r="AK45" s="14"/>
      <c r="AL45" s="16">
        <v>109.08</v>
      </c>
      <c r="AM45" s="15" t="s">
        <v>26</v>
      </c>
      <c r="AN45" s="16">
        <v>5.7816000000000001</v>
      </c>
      <c r="AO45" s="16">
        <v>24.546399999999998</v>
      </c>
      <c r="AP45" s="14"/>
      <c r="AQ45" s="16">
        <v>55.301000000000002</v>
      </c>
      <c r="AR45" s="15" t="s">
        <v>26</v>
      </c>
      <c r="AS45" s="16">
        <v>5.3948</v>
      </c>
      <c r="AT45" s="16">
        <v>7.5376799999999999</v>
      </c>
      <c r="AU45" s="14"/>
      <c r="AV45" s="15"/>
      <c r="AW45" s="15" t="s">
        <v>26</v>
      </c>
      <c r="AX45" s="15"/>
      <c r="AY45" s="15"/>
      <c r="AZ45" s="14"/>
      <c r="BA45" s="15"/>
      <c r="BB45" s="15" t="s">
        <v>26</v>
      </c>
      <c r="BC45" s="15"/>
      <c r="BD45" s="15"/>
      <c r="BE45" s="14"/>
      <c r="BF45" s="16">
        <v>54.353000000000002</v>
      </c>
      <c r="BG45" s="15" t="s">
        <v>26</v>
      </c>
      <c r="BH45" s="16">
        <v>2.82</v>
      </c>
      <c r="BI45" s="16">
        <v>3.84023</v>
      </c>
      <c r="BJ45" s="14"/>
      <c r="BK45" s="16">
        <v>51.521999999999998</v>
      </c>
      <c r="BL45" s="15" t="s">
        <v>26</v>
      </c>
      <c r="BM45" s="16">
        <v>2.7745000000000002</v>
      </c>
      <c r="BN45" s="16">
        <v>9.9977300000000007</v>
      </c>
      <c r="BO45" s="14"/>
      <c r="BP45" s="16">
        <v>111.41</v>
      </c>
      <c r="BQ45" s="15" t="s">
        <v>26</v>
      </c>
      <c r="BR45" s="16">
        <v>6.0617000000000001</v>
      </c>
      <c r="BS45" s="16">
        <v>23.5322</v>
      </c>
      <c r="BT45" s="14"/>
      <c r="BU45" s="16">
        <v>83.597999999999999</v>
      </c>
      <c r="BV45" s="15" t="s">
        <v>26</v>
      </c>
      <c r="BW45" s="16">
        <v>2.6092</v>
      </c>
      <c r="BX45" s="17">
        <v>10.6584</v>
      </c>
    </row>
    <row r="46" spans="1:76" ht="15" thickBot="1" x14ac:dyDescent="0.4"/>
    <row r="47" spans="1:76" ht="15" thickBot="1" x14ac:dyDescent="0.4">
      <c r="G47" s="13" t="s">
        <v>18</v>
      </c>
      <c r="H47" s="9" t="s">
        <v>24</v>
      </c>
      <c r="I47" s="9"/>
      <c r="J47" s="9"/>
      <c r="K47" s="9"/>
      <c r="L47" s="13" t="s">
        <v>1</v>
      </c>
      <c r="M47" s="9" t="s">
        <v>23</v>
      </c>
      <c r="N47" s="9"/>
      <c r="O47" s="9"/>
      <c r="P47" s="9"/>
      <c r="Q47" s="13" t="s">
        <v>2</v>
      </c>
      <c r="R47" s="9" t="s">
        <v>36</v>
      </c>
      <c r="S47" s="9"/>
      <c r="T47" s="9"/>
      <c r="U47" s="9"/>
      <c r="V47" s="13" t="s">
        <v>7</v>
      </c>
      <c r="W47" s="9" t="s">
        <v>38</v>
      </c>
      <c r="X47" s="9"/>
      <c r="Y47" s="9"/>
      <c r="Z47" s="9"/>
      <c r="AA47" s="13" t="s">
        <v>9</v>
      </c>
      <c r="AB47" s="9" t="s">
        <v>73</v>
      </c>
      <c r="AC47" s="9"/>
      <c r="AD47" s="9"/>
      <c r="AE47" s="9"/>
      <c r="AF47" s="13" t="s">
        <v>16</v>
      </c>
      <c r="AG47" s="9" t="s">
        <v>39</v>
      </c>
      <c r="AH47" s="9"/>
      <c r="AI47" s="9"/>
      <c r="AJ47" s="9"/>
      <c r="AK47" s="13" t="s">
        <v>17</v>
      </c>
      <c r="AL47" s="9" t="s">
        <v>40</v>
      </c>
      <c r="AM47" s="9"/>
      <c r="AN47" s="9"/>
      <c r="AO47" s="9"/>
      <c r="AP47" s="13" t="s">
        <v>19</v>
      </c>
      <c r="AQ47" s="9" t="s">
        <v>41</v>
      </c>
      <c r="AR47" s="9"/>
      <c r="AS47" s="9"/>
      <c r="AT47" s="9"/>
      <c r="AU47" s="13" t="s">
        <v>63</v>
      </c>
      <c r="AV47" s="9" t="s">
        <v>64</v>
      </c>
      <c r="AW47" s="9"/>
      <c r="AX47" s="9"/>
      <c r="AY47" s="9"/>
      <c r="AZ47" s="13" t="s">
        <v>65</v>
      </c>
      <c r="BA47" s="9" t="s">
        <v>66</v>
      </c>
      <c r="BB47" s="9"/>
      <c r="BC47" s="9"/>
      <c r="BD47" s="9"/>
      <c r="BE47" s="13" t="s">
        <v>21</v>
      </c>
      <c r="BF47" s="9" t="s">
        <v>42</v>
      </c>
      <c r="BG47" s="9"/>
      <c r="BH47" s="9"/>
      <c r="BI47" s="9"/>
      <c r="BJ47" s="13" t="s">
        <v>22</v>
      </c>
      <c r="BK47" s="9" t="s">
        <v>43</v>
      </c>
      <c r="BL47" s="9"/>
      <c r="BM47" s="9"/>
      <c r="BN47" s="9"/>
      <c r="BO47" s="13" t="s">
        <v>44</v>
      </c>
      <c r="BP47" s="9" t="s">
        <v>45</v>
      </c>
      <c r="BQ47" s="9"/>
      <c r="BR47" s="9"/>
      <c r="BS47" s="9"/>
      <c r="BT47" s="13" t="s">
        <v>47</v>
      </c>
      <c r="BU47" s="9" t="s">
        <v>48</v>
      </c>
      <c r="BV47" s="9"/>
      <c r="BW47" s="9"/>
      <c r="BX47" s="12"/>
    </row>
    <row r="48" spans="1:76" ht="15" thickBot="1" x14ac:dyDescent="0.4">
      <c r="A48" s="13" t="s">
        <v>30</v>
      </c>
      <c r="B48" s="13" t="s">
        <v>29</v>
      </c>
      <c r="C48" s="13" t="s">
        <v>31</v>
      </c>
      <c r="D48" s="13" t="s">
        <v>27</v>
      </c>
      <c r="E48" s="13" t="s">
        <v>25</v>
      </c>
      <c r="F48" s="13" t="s">
        <v>28</v>
      </c>
      <c r="G48" s="13" t="s">
        <v>32</v>
      </c>
      <c r="H48" s="9" t="s">
        <v>33</v>
      </c>
      <c r="I48" s="9"/>
      <c r="J48" s="9" t="s">
        <v>34</v>
      </c>
      <c r="K48" s="9" t="s">
        <v>35</v>
      </c>
      <c r="L48" s="13" t="s">
        <v>32</v>
      </c>
      <c r="M48" s="9" t="s">
        <v>33</v>
      </c>
      <c r="N48" s="9"/>
      <c r="O48" s="9" t="s">
        <v>34</v>
      </c>
      <c r="P48" s="9" t="s">
        <v>35</v>
      </c>
      <c r="Q48" s="13" t="s">
        <v>32</v>
      </c>
      <c r="R48" s="9" t="s">
        <v>33</v>
      </c>
      <c r="S48" s="9"/>
      <c r="T48" s="9" t="s">
        <v>34</v>
      </c>
      <c r="U48" s="9" t="s">
        <v>35</v>
      </c>
      <c r="V48" s="13" t="s">
        <v>32</v>
      </c>
      <c r="W48" s="9" t="s">
        <v>33</v>
      </c>
      <c r="X48" s="9"/>
      <c r="Y48" s="9" t="s">
        <v>34</v>
      </c>
      <c r="Z48" s="9" t="s">
        <v>35</v>
      </c>
      <c r="AA48" s="13" t="s">
        <v>32</v>
      </c>
      <c r="AB48" s="9" t="s">
        <v>33</v>
      </c>
      <c r="AC48" s="9"/>
      <c r="AD48" s="9" t="s">
        <v>34</v>
      </c>
      <c r="AE48" s="9" t="s">
        <v>35</v>
      </c>
      <c r="AF48" s="13" t="s">
        <v>32</v>
      </c>
      <c r="AG48" s="9" t="s">
        <v>33</v>
      </c>
      <c r="AH48" s="9"/>
      <c r="AI48" s="9" t="s">
        <v>34</v>
      </c>
      <c r="AJ48" s="9" t="s">
        <v>35</v>
      </c>
      <c r="AK48" s="13" t="s">
        <v>32</v>
      </c>
      <c r="AL48" s="9" t="s">
        <v>33</v>
      </c>
      <c r="AM48" s="9"/>
      <c r="AN48" s="9" t="s">
        <v>34</v>
      </c>
      <c r="AO48" s="9" t="s">
        <v>35</v>
      </c>
      <c r="AP48" s="13" t="s">
        <v>32</v>
      </c>
      <c r="AQ48" s="9" t="s">
        <v>33</v>
      </c>
      <c r="AR48" s="9"/>
      <c r="AS48" s="9" t="s">
        <v>34</v>
      </c>
      <c r="AT48" s="9" t="s">
        <v>35</v>
      </c>
      <c r="AU48" s="13" t="s">
        <v>32</v>
      </c>
      <c r="AV48" s="9" t="s">
        <v>33</v>
      </c>
      <c r="AW48" s="9"/>
      <c r="AX48" s="9" t="s">
        <v>34</v>
      </c>
      <c r="AY48" s="9" t="s">
        <v>35</v>
      </c>
      <c r="AZ48" s="13" t="s">
        <v>32</v>
      </c>
      <c r="BA48" s="9" t="s">
        <v>33</v>
      </c>
      <c r="BB48" s="9"/>
      <c r="BC48" s="9" t="s">
        <v>34</v>
      </c>
      <c r="BD48" s="9" t="s">
        <v>35</v>
      </c>
      <c r="BE48" s="13" t="s">
        <v>32</v>
      </c>
      <c r="BF48" s="9" t="s">
        <v>33</v>
      </c>
      <c r="BG48" s="9"/>
      <c r="BH48" s="9" t="s">
        <v>34</v>
      </c>
      <c r="BI48" s="9" t="s">
        <v>35</v>
      </c>
      <c r="BJ48" s="13" t="s">
        <v>32</v>
      </c>
      <c r="BK48" s="9" t="s">
        <v>33</v>
      </c>
      <c r="BL48" s="9"/>
      <c r="BM48" s="9" t="s">
        <v>34</v>
      </c>
      <c r="BN48" s="9" t="s">
        <v>35</v>
      </c>
      <c r="BO48" s="13" t="s">
        <v>32</v>
      </c>
      <c r="BP48" s="9" t="s">
        <v>33</v>
      </c>
      <c r="BQ48" s="9"/>
      <c r="BR48" s="9" t="s">
        <v>34</v>
      </c>
      <c r="BS48" s="9" t="s">
        <v>35</v>
      </c>
      <c r="BT48" s="13" t="s">
        <v>32</v>
      </c>
      <c r="BU48" s="9" t="s">
        <v>33</v>
      </c>
      <c r="BV48" s="9"/>
      <c r="BW48" s="9" t="s">
        <v>34</v>
      </c>
      <c r="BX48" s="12" t="s">
        <v>35</v>
      </c>
    </row>
    <row r="49" spans="1:76" ht="15" thickBot="1" x14ac:dyDescent="0.4">
      <c r="A49" s="13" t="s">
        <v>80</v>
      </c>
      <c r="B49" s="13" t="s">
        <v>46</v>
      </c>
      <c r="C49" s="13" t="s">
        <v>81</v>
      </c>
      <c r="D49" s="13">
        <v>4.1190000000000003E-3</v>
      </c>
      <c r="E49" s="21">
        <v>45000</v>
      </c>
      <c r="F49" s="13">
        <v>1.9228703703703705</v>
      </c>
      <c r="G49" s="11"/>
      <c r="H49" s="18">
        <v>487.58</v>
      </c>
      <c r="I49" s="10" t="s">
        <v>26</v>
      </c>
      <c r="J49" s="18">
        <v>29.760999999999999</v>
      </c>
      <c r="K49" s="18">
        <v>19.453399999999998</v>
      </c>
      <c r="L49" s="11"/>
      <c r="M49" s="10"/>
      <c r="N49" s="10" t="s">
        <v>26</v>
      </c>
      <c r="O49" s="10"/>
      <c r="P49" s="18">
        <v>16.147099999999998</v>
      </c>
      <c r="Q49" s="11"/>
      <c r="R49" s="10"/>
      <c r="S49" s="10" t="s">
        <v>26</v>
      </c>
      <c r="T49" s="10"/>
      <c r="U49" s="18">
        <v>3.25319</v>
      </c>
      <c r="V49" s="11"/>
      <c r="W49" s="18">
        <v>123.01</v>
      </c>
      <c r="X49" s="10" t="s">
        <v>26</v>
      </c>
      <c r="Y49" s="18">
        <v>5.1330999999999998</v>
      </c>
      <c r="Z49" s="18">
        <v>9.2828499999999998</v>
      </c>
      <c r="AA49" s="11"/>
      <c r="AB49" s="18">
        <v>3.9379</v>
      </c>
      <c r="AC49" s="10" t="s">
        <v>26</v>
      </c>
      <c r="AD49" s="18">
        <v>2.6741000000000001</v>
      </c>
      <c r="AE49" s="18">
        <v>2.83819</v>
      </c>
      <c r="AF49" s="11"/>
      <c r="AG49" s="18">
        <v>112.79</v>
      </c>
      <c r="AH49" s="10" t="s">
        <v>26</v>
      </c>
      <c r="AI49" s="18">
        <v>1.7757000000000001</v>
      </c>
      <c r="AJ49" s="18">
        <v>1.57101</v>
      </c>
      <c r="AK49" s="11"/>
      <c r="AL49" s="18">
        <v>109.08</v>
      </c>
      <c r="AM49" s="10" t="s">
        <v>26</v>
      </c>
      <c r="AN49" s="18">
        <v>5.7816000000000001</v>
      </c>
      <c r="AO49" s="18">
        <v>24.546399999999998</v>
      </c>
      <c r="AP49" s="11"/>
      <c r="AQ49" s="18">
        <v>55.301000000000002</v>
      </c>
      <c r="AR49" s="10" t="s">
        <v>26</v>
      </c>
      <c r="AS49" s="18">
        <v>5.3948</v>
      </c>
      <c r="AT49" s="18">
        <v>7.5376799999999999</v>
      </c>
      <c r="AU49" s="11"/>
      <c r="AV49" s="10"/>
      <c r="AW49" s="10" t="s">
        <v>26</v>
      </c>
      <c r="AX49" s="10"/>
      <c r="AY49" s="10"/>
      <c r="AZ49" s="11"/>
      <c r="BA49" s="10"/>
      <c r="BB49" s="10" t="s">
        <v>26</v>
      </c>
      <c r="BC49" s="10"/>
      <c r="BD49" s="10"/>
      <c r="BE49" s="11"/>
      <c r="BF49" s="18">
        <v>54.353000000000002</v>
      </c>
      <c r="BG49" s="10" t="s">
        <v>26</v>
      </c>
      <c r="BH49" s="18">
        <v>2.82</v>
      </c>
      <c r="BI49" s="18">
        <v>3.84023</v>
      </c>
      <c r="BJ49" s="11"/>
      <c r="BK49" s="18">
        <v>51.521999999999998</v>
      </c>
      <c r="BL49" s="10" t="s">
        <v>26</v>
      </c>
      <c r="BM49" s="18">
        <v>2.7745000000000002</v>
      </c>
      <c r="BN49" s="18">
        <v>9.9977300000000007</v>
      </c>
      <c r="BO49" s="11"/>
      <c r="BP49" s="18">
        <v>111.41</v>
      </c>
      <c r="BQ49" s="10" t="s">
        <v>26</v>
      </c>
      <c r="BR49" s="18">
        <v>6.0617000000000001</v>
      </c>
      <c r="BS49" s="18">
        <v>23.5322</v>
      </c>
      <c r="BT49" s="11"/>
      <c r="BU49" s="18">
        <v>83.597999999999999</v>
      </c>
      <c r="BV49" s="10" t="s">
        <v>26</v>
      </c>
      <c r="BW49" s="18">
        <v>2.6092</v>
      </c>
      <c r="BX49" s="19">
        <v>10.6584</v>
      </c>
    </row>
    <row r="50" spans="1:76" ht="15" thickBot="1" x14ac:dyDescent="0.4">
      <c r="A50" s="10" t="s">
        <v>80</v>
      </c>
      <c r="B50" s="11" t="s">
        <v>46</v>
      </c>
      <c r="C50" s="11" t="s">
        <v>82</v>
      </c>
      <c r="D50" s="11">
        <v>4.1189999999999997E-2</v>
      </c>
      <c r="E50" s="20">
        <v>45000</v>
      </c>
      <c r="F50" s="11">
        <v>4.8820833333333331</v>
      </c>
      <c r="G50" s="14"/>
      <c r="H50" s="16">
        <v>47.909910000000004</v>
      </c>
      <c r="I50" s="15" t="s">
        <v>26</v>
      </c>
      <c r="J50" s="16">
        <v>2.4449040000000002</v>
      </c>
      <c r="K50" s="16">
        <v>1.20044</v>
      </c>
      <c r="L50" s="14"/>
      <c r="M50" s="16">
        <v>5.539015</v>
      </c>
      <c r="N50" s="15" t="s">
        <v>26</v>
      </c>
      <c r="O50" s="16">
        <v>0.84775370000000005</v>
      </c>
      <c r="P50" s="16">
        <v>1.18964</v>
      </c>
      <c r="Q50" s="14"/>
      <c r="R50" s="15"/>
      <c r="S50" s="15" t="s">
        <v>26</v>
      </c>
      <c r="T50" s="15"/>
      <c r="U50" s="16">
        <v>0.13250200000000001</v>
      </c>
      <c r="V50" s="14"/>
      <c r="W50" s="16">
        <v>9.9912320000000001</v>
      </c>
      <c r="X50" s="15" t="s">
        <v>26</v>
      </c>
      <c r="Y50" s="16">
        <v>0.72356659999999995</v>
      </c>
      <c r="Z50" s="16">
        <v>0.512818</v>
      </c>
      <c r="AA50" s="14"/>
      <c r="AB50" s="15"/>
      <c r="AC50" s="15" t="s">
        <v>26</v>
      </c>
      <c r="AD50" s="15"/>
      <c r="AE50" s="16">
        <v>0.35178399999999999</v>
      </c>
      <c r="AF50" s="14"/>
      <c r="AG50" s="16">
        <v>11.415290000000001</v>
      </c>
      <c r="AH50" s="15" t="s">
        <v>26</v>
      </c>
      <c r="AI50" s="16">
        <v>0.92507099999999998</v>
      </c>
      <c r="AJ50" s="16">
        <v>0.108069</v>
      </c>
      <c r="AK50" s="14"/>
      <c r="AL50" s="16">
        <v>10.9772</v>
      </c>
      <c r="AM50" s="15" t="s">
        <v>26</v>
      </c>
      <c r="AN50" s="16">
        <v>0.74363449999999998</v>
      </c>
      <c r="AO50" s="16">
        <v>1.60005</v>
      </c>
      <c r="AP50" s="14"/>
      <c r="AQ50" s="16">
        <v>4.7560969999999996</v>
      </c>
      <c r="AR50" s="15" t="s">
        <v>26</v>
      </c>
      <c r="AS50" s="16">
        <v>0.40945009999999998</v>
      </c>
      <c r="AT50" s="16">
        <v>0.450345</v>
      </c>
      <c r="AU50" s="14"/>
      <c r="AV50" s="15"/>
      <c r="AW50" s="15" t="s">
        <v>26</v>
      </c>
      <c r="AX50" s="15"/>
      <c r="AY50" s="15"/>
      <c r="AZ50" s="14"/>
      <c r="BA50" s="15"/>
      <c r="BB50" s="15" t="s">
        <v>26</v>
      </c>
      <c r="BC50" s="15"/>
      <c r="BD50" s="15"/>
      <c r="BE50" s="14"/>
      <c r="BF50" s="16">
        <v>4.9585549999999996</v>
      </c>
      <c r="BG50" s="15" t="s">
        <v>26</v>
      </c>
      <c r="BH50" s="16">
        <v>0.38573740000000001</v>
      </c>
      <c r="BI50" s="16">
        <v>0.25319000000000003</v>
      </c>
      <c r="BJ50" s="14"/>
      <c r="BK50" s="16">
        <v>4.583812</v>
      </c>
      <c r="BL50" s="15" t="s">
        <v>26</v>
      </c>
      <c r="BM50" s="16">
        <v>0.40434160000000002</v>
      </c>
      <c r="BN50" s="16">
        <v>0.61944100000000002</v>
      </c>
      <c r="BO50" s="14"/>
      <c r="BP50" s="16">
        <v>4.3122850000000001</v>
      </c>
      <c r="BQ50" s="15" t="s">
        <v>26</v>
      </c>
      <c r="BR50" s="16">
        <v>0.74403430000000004</v>
      </c>
      <c r="BS50" s="16">
        <v>1.84761</v>
      </c>
      <c r="BT50" s="14"/>
      <c r="BU50" s="16">
        <v>8.6862829999999995</v>
      </c>
      <c r="BV50" s="15" t="s">
        <v>26</v>
      </c>
      <c r="BW50" s="16">
        <v>0.91138189999999997</v>
      </c>
      <c r="BX50" s="17">
        <v>0.76016799999999995</v>
      </c>
    </row>
    <row r="51" spans="1:76" ht="15" thickBot="1" x14ac:dyDescent="0.4"/>
    <row r="52" spans="1:76" ht="15" thickBot="1" x14ac:dyDescent="0.4">
      <c r="G52" s="13" t="s">
        <v>18</v>
      </c>
      <c r="H52" s="9" t="s">
        <v>24</v>
      </c>
      <c r="I52" s="9"/>
      <c r="J52" s="9"/>
      <c r="K52" s="9"/>
      <c r="L52" s="13" t="s">
        <v>1</v>
      </c>
      <c r="M52" s="9" t="s">
        <v>23</v>
      </c>
      <c r="N52" s="9"/>
      <c r="O52" s="9"/>
      <c r="P52" s="9"/>
      <c r="Q52" s="13" t="s">
        <v>2</v>
      </c>
      <c r="R52" s="9" t="s">
        <v>36</v>
      </c>
      <c r="S52" s="9"/>
      <c r="T52" s="9"/>
      <c r="U52" s="9"/>
      <c r="V52" s="13" t="s">
        <v>7</v>
      </c>
      <c r="W52" s="9" t="s">
        <v>38</v>
      </c>
      <c r="X52" s="9"/>
      <c r="Y52" s="9"/>
      <c r="Z52" s="9"/>
      <c r="AA52" s="13" t="s">
        <v>9</v>
      </c>
      <c r="AB52" s="9" t="s">
        <v>73</v>
      </c>
      <c r="AC52" s="9"/>
      <c r="AD52" s="9"/>
      <c r="AE52" s="9"/>
      <c r="AF52" s="13" t="s">
        <v>16</v>
      </c>
      <c r="AG52" s="9" t="s">
        <v>39</v>
      </c>
      <c r="AH52" s="9"/>
      <c r="AI52" s="9"/>
      <c r="AJ52" s="9"/>
      <c r="AK52" s="13" t="s">
        <v>17</v>
      </c>
      <c r="AL52" s="9" t="s">
        <v>40</v>
      </c>
      <c r="AM52" s="9"/>
      <c r="AN52" s="9"/>
      <c r="AO52" s="9"/>
      <c r="AP52" s="13" t="s">
        <v>19</v>
      </c>
      <c r="AQ52" s="9" t="s">
        <v>41</v>
      </c>
      <c r="AR52" s="9"/>
      <c r="AS52" s="9"/>
      <c r="AT52" s="9"/>
      <c r="AU52" s="13" t="s">
        <v>63</v>
      </c>
      <c r="AV52" s="9" t="s">
        <v>64</v>
      </c>
      <c r="AW52" s="9"/>
      <c r="AX52" s="9"/>
      <c r="AY52" s="9"/>
      <c r="AZ52" s="13" t="s">
        <v>65</v>
      </c>
      <c r="BA52" s="9" t="s">
        <v>66</v>
      </c>
      <c r="BB52" s="9"/>
      <c r="BC52" s="9"/>
      <c r="BD52" s="9"/>
      <c r="BE52" s="13" t="s">
        <v>21</v>
      </c>
      <c r="BF52" s="9" t="s">
        <v>42</v>
      </c>
      <c r="BG52" s="9"/>
      <c r="BH52" s="9"/>
      <c r="BI52" s="9"/>
      <c r="BJ52" s="13" t="s">
        <v>22</v>
      </c>
      <c r="BK52" s="9" t="s">
        <v>43</v>
      </c>
      <c r="BL52" s="9"/>
      <c r="BM52" s="9"/>
      <c r="BN52" s="9"/>
      <c r="BO52" s="13" t="s">
        <v>44</v>
      </c>
      <c r="BP52" s="9" t="s">
        <v>45</v>
      </c>
      <c r="BQ52" s="9"/>
      <c r="BR52" s="9"/>
      <c r="BS52" s="9"/>
      <c r="BT52" s="13" t="s">
        <v>47</v>
      </c>
      <c r="BU52" s="9" t="s">
        <v>48</v>
      </c>
      <c r="BV52" s="9"/>
      <c r="BW52" s="9"/>
      <c r="BX52" s="12"/>
    </row>
    <row r="53" spans="1:76" ht="15" thickBot="1" x14ac:dyDescent="0.4">
      <c r="A53" s="13" t="s">
        <v>30</v>
      </c>
      <c r="B53" s="13" t="s">
        <v>29</v>
      </c>
      <c r="C53" s="13" t="s">
        <v>31</v>
      </c>
      <c r="D53" s="13" t="s">
        <v>27</v>
      </c>
      <c r="E53" s="13" t="s">
        <v>25</v>
      </c>
      <c r="F53" s="13" t="s">
        <v>28</v>
      </c>
      <c r="G53" s="13" t="s">
        <v>32</v>
      </c>
      <c r="H53" s="9" t="s">
        <v>33</v>
      </c>
      <c r="I53" s="9"/>
      <c r="J53" s="9" t="s">
        <v>34</v>
      </c>
      <c r="K53" s="9" t="s">
        <v>35</v>
      </c>
      <c r="L53" s="13" t="s">
        <v>32</v>
      </c>
      <c r="M53" s="9" t="s">
        <v>33</v>
      </c>
      <c r="N53" s="9"/>
      <c r="O53" s="9" t="s">
        <v>34</v>
      </c>
      <c r="P53" s="9" t="s">
        <v>35</v>
      </c>
      <c r="Q53" s="13" t="s">
        <v>32</v>
      </c>
      <c r="R53" s="9" t="s">
        <v>33</v>
      </c>
      <c r="S53" s="9"/>
      <c r="T53" s="9" t="s">
        <v>34</v>
      </c>
      <c r="U53" s="9" t="s">
        <v>35</v>
      </c>
      <c r="V53" s="13" t="s">
        <v>32</v>
      </c>
      <c r="W53" s="9" t="s">
        <v>33</v>
      </c>
      <c r="X53" s="9"/>
      <c r="Y53" s="9" t="s">
        <v>34</v>
      </c>
      <c r="Z53" s="9" t="s">
        <v>35</v>
      </c>
      <c r="AA53" s="13" t="s">
        <v>32</v>
      </c>
      <c r="AB53" s="9" t="s">
        <v>33</v>
      </c>
      <c r="AC53" s="9"/>
      <c r="AD53" s="9" t="s">
        <v>34</v>
      </c>
      <c r="AE53" s="9" t="s">
        <v>35</v>
      </c>
      <c r="AF53" s="13" t="s">
        <v>32</v>
      </c>
      <c r="AG53" s="9" t="s">
        <v>33</v>
      </c>
      <c r="AH53" s="9"/>
      <c r="AI53" s="9" t="s">
        <v>34</v>
      </c>
      <c r="AJ53" s="9" t="s">
        <v>35</v>
      </c>
      <c r="AK53" s="13" t="s">
        <v>32</v>
      </c>
      <c r="AL53" s="9" t="s">
        <v>33</v>
      </c>
      <c r="AM53" s="9"/>
      <c r="AN53" s="9" t="s">
        <v>34</v>
      </c>
      <c r="AO53" s="9" t="s">
        <v>35</v>
      </c>
      <c r="AP53" s="13" t="s">
        <v>32</v>
      </c>
      <c r="AQ53" s="9" t="s">
        <v>33</v>
      </c>
      <c r="AR53" s="9"/>
      <c r="AS53" s="9" t="s">
        <v>34</v>
      </c>
      <c r="AT53" s="9" t="s">
        <v>35</v>
      </c>
      <c r="AU53" s="13" t="s">
        <v>32</v>
      </c>
      <c r="AV53" s="9" t="s">
        <v>33</v>
      </c>
      <c r="AW53" s="9"/>
      <c r="AX53" s="9" t="s">
        <v>34</v>
      </c>
      <c r="AY53" s="9" t="s">
        <v>35</v>
      </c>
      <c r="AZ53" s="13" t="s">
        <v>32</v>
      </c>
      <c r="BA53" s="9" t="s">
        <v>33</v>
      </c>
      <c r="BB53" s="9"/>
      <c r="BC53" s="9" t="s">
        <v>34</v>
      </c>
      <c r="BD53" s="9" t="s">
        <v>35</v>
      </c>
      <c r="BE53" s="13" t="s">
        <v>32</v>
      </c>
      <c r="BF53" s="9" t="s">
        <v>33</v>
      </c>
      <c r="BG53" s="9"/>
      <c r="BH53" s="9" t="s">
        <v>34</v>
      </c>
      <c r="BI53" s="9" t="s">
        <v>35</v>
      </c>
      <c r="BJ53" s="13" t="s">
        <v>32</v>
      </c>
      <c r="BK53" s="9" t="s">
        <v>33</v>
      </c>
      <c r="BL53" s="9"/>
      <c r="BM53" s="9" t="s">
        <v>34</v>
      </c>
      <c r="BN53" s="9" t="s">
        <v>35</v>
      </c>
      <c r="BO53" s="13" t="s">
        <v>32</v>
      </c>
      <c r="BP53" s="9" t="s">
        <v>33</v>
      </c>
      <c r="BQ53" s="9"/>
      <c r="BR53" s="9" t="s">
        <v>34</v>
      </c>
      <c r="BS53" s="9" t="s">
        <v>35</v>
      </c>
      <c r="BT53" s="13" t="s">
        <v>32</v>
      </c>
      <c r="BU53" s="9" t="s">
        <v>33</v>
      </c>
      <c r="BV53" s="9"/>
      <c r="BW53" s="9" t="s">
        <v>34</v>
      </c>
      <c r="BX53" s="12" t="s">
        <v>35</v>
      </c>
    </row>
    <row r="54" spans="1:76" ht="15" thickBot="1" x14ac:dyDescent="0.4">
      <c r="A54" s="13" t="s">
        <v>80</v>
      </c>
      <c r="B54" s="13" t="s">
        <v>46</v>
      </c>
      <c r="C54" s="13" t="s">
        <v>81</v>
      </c>
      <c r="D54" s="13">
        <v>4.1190000000000003E-3</v>
      </c>
      <c r="E54" s="21">
        <v>45000</v>
      </c>
      <c r="F54" s="13">
        <v>1.9228703703703705</v>
      </c>
      <c r="G54" s="13"/>
      <c r="H54" s="22">
        <v>487.58</v>
      </c>
      <c r="I54" s="9" t="s">
        <v>26</v>
      </c>
      <c r="J54" s="22">
        <v>29.760999999999999</v>
      </c>
      <c r="K54" s="22">
        <v>19.453399999999998</v>
      </c>
      <c r="L54" s="13"/>
      <c r="M54" s="9"/>
      <c r="N54" s="9" t="s">
        <v>26</v>
      </c>
      <c r="O54" s="9"/>
      <c r="P54" s="22">
        <v>16.147099999999998</v>
      </c>
      <c r="Q54" s="13"/>
      <c r="R54" s="9"/>
      <c r="S54" s="9" t="s">
        <v>26</v>
      </c>
      <c r="T54" s="9"/>
      <c r="U54" s="22">
        <v>3.25319</v>
      </c>
      <c r="V54" s="13"/>
      <c r="W54" s="22">
        <v>123.01</v>
      </c>
      <c r="X54" s="9" t="s">
        <v>26</v>
      </c>
      <c r="Y54" s="22">
        <v>5.1330999999999998</v>
      </c>
      <c r="Z54" s="22">
        <v>9.2828499999999998</v>
      </c>
      <c r="AA54" s="13"/>
      <c r="AB54" s="22">
        <v>3.9379</v>
      </c>
      <c r="AC54" s="9" t="s">
        <v>26</v>
      </c>
      <c r="AD54" s="22">
        <v>2.6741000000000001</v>
      </c>
      <c r="AE54" s="22">
        <v>2.83819</v>
      </c>
      <c r="AF54" s="13"/>
      <c r="AG54" s="22">
        <v>112.79</v>
      </c>
      <c r="AH54" s="9" t="s">
        <v>26</v>
      </c>
      <c r="AI54" s="22">
        <v>1.7757000000000001</v>
      </c>
      <c r="AJ54" s="22">
        <v>1.57101</v>
      </c>
      <c r="AK54" s="13"/>
      <c r="AL54" s="22">
        <v>109.08</v>
      </c>
      <c r="AM54" s="9" t="s">
        <v>26</v>
      </c>
      <c r="AN54" s="22">
        <v>5.7816000000000001</v>
      </c>
      <c r="AO54" s="22">
        <v>24.546399999999998</v>
      </c>
      <c r="AP54" s="13"/>
      <c r="AQ54" s="22">
        <v>55.301000000000002</v>
      </c>
      <c r="AR54" s="9" t="s">
        <v>26</v>
      </c>
      <c r="AS54" s="22">
        <v>5.3948</v>
      </c>
      <c r="AT54" s="22">
        <v>7.5376799999999999</v>
      </c>
      <c r="AU54" s="13"/>
      <c r="AV54" s="9"/>
      <c r="AW54" s="9" t="s">
        <v>26</v>
      </c>
      <c r="AX54" s="9"/>
      <c r="AY54" s="9"/>
      <c r="AZ54" s="13"/>
      <c r="BA54" s="9"/>
      <c r="BB54" s="9" t="s">
        <v>26</v>
      </c>
      <c r="BC54" s="9"/>
      <c r="BD54" s="9"/>
      <c r="BE54" s="13"/>
      <c r="BF54" s="22">
        <v>54.353000000000002</v>
      </c>
      <c r="BG54" s="9" t="s">
        <v>26</v>
      </c>
      <c r="BH54" s="22">
        <v>2.82</v>
      </c>
      <c r="BI54" s="22">
        <v>3.84023</v>
      </c>
      <c r="BJ54" s="13"/>
      <c r="BK54" s="22">
        <v>51.521999999999998</v>
      </c>
      <c r="BL54" s="9" t="s">
        <v>26</v>
      </c>
      <c r="BM54" s="22">
        <v>2.7745000000000002</v>
      </c>
      <c r="BN54" s="22">
        <v>9.9977300000000007</v>
      </c>
      <c r="BO54" s="13"/>
      <c r="BP54" s="22">
        <v>111.41</v>
      </c>
      <c r="BQ54" s="9" t="s">
        <v>26</v>
      </c>
      <c r="BR54" s="22">
        <v>6.0617000000000001</v>
      </c>
      <c r="BS54" s="22">
        <v>23.5322</v>
      </c>
      <c r="BT54" s="13"/>
      <c r="BU54" s="22">
        <v>83.597999999999999</v>
      </c>
      <c r="BV54" s="9" t="s">
        <v>26</v>
      </c>
      <c r="BW54" s="22">
        <v>2.6092</v>
      </c>
      <c r="BX54" s="23">
        <v>10.6584</v>
      </c>
    </row>
    <row r="55" spans="1:76" ht="15" thickBot="1" x14ac:dyDescent="0.4">
      <c r="A55" s="13" t="s">
        <v>80</v>
      </c>
      <c r="B55" s="13" t="s">
        <v>46</v>
      </c>
      <c r="C55" s="13" t="s">
        <v>83</v>
      </c>
      <c r="D55" s="13">
        <v>4.1189999999999997E-2</v>
      </c>
      <c r="E55" s="21">
        <v>45000</v>
      </c>
      <c r="F55" s="13">
        <v>4.8820833333333331</v>
      </c>
      <c r="G55" s="13"/>
      <c r="H55" s="22">
        <v>46.891469999999998</v>
      </c>
      <c r="I55" s="9" t="s">
        <v>26</v>
      </c>
      <c r="J55" s="22">
        <v>2.3929320000000001</v>
      </c>
      <c r="K55" s="22">
        <v>1.17493</v>
      </c>
      <c r="L55" s="13"/>
      <c r="M55" s="22">
        <v>5.3961459999999999</v>
      </c>
      <c r="N55" s="9" t="s">
        <v>26</v>
      </c>
      <c r="O55" s="22">
        <v>0.8258875</v>
      </c>
      <c r="P55" s="22">
        <v>1.1589499999999999</v>
      </c>
      <c r="Q55" s="13"/>
      <c r="R55" s="9"/>
      <c r="S55" s="9" t="s">
        <v>26</v>
      </c>
      <c r="T55" s="9"/>
      <c r="U55" s="22">
        <v>0.12843499999999999</v>
      </c>
      <c r="V55" s="13"/>
      <c r="W55" s="22">
        <v>9.7245019999999993</v>
      </c>
      <c r="X55" s="9" t="s">
        <v>26</v>
      </c>
      <c r="Y55" s="22">
        <v>0.70425000000000004</v>
      </c>
      <c r="Z55" s="22">
        <v>0.49912699999999999</v>
      </c>
      <c r="AA55" s="13"/>
      <c r="AB55" s="9"/>
      <c r="AC55" s="9" t="s">
        <v>26</v>
      </c>
      <c r="AD55" s="9"/>
      <c r="AE55" s="22">
        <v>0.34180100000000002</v>
      </c>
      <c r="AF55" s="13"/>
      <c r="AG55" s="22">
        <v>10.90884</v>
      </c>
      <c r="AH55" s="9" t="s">
        <v>26</v>
      </c>
      <c r="AI55" s="22">
        <v>0.88402970000000003</v>
      </c>
      <c r="AJ55" s="22">
        <v>0.103274</v>
      </c>
      <c r="AK55" s="13"/>
      <c r="AL55" s="22">
        <v>10.65344</v>
      </c>
      <c r="AM55" s="9" t="s">
        <v>26</v>
      </c>
      <c r="AN55" s="22">
        <v>0.72170160000000005</v>
      </c>
      <c r="AO55" s="22">
        <v>1.5528599999999999</v>
      </c>
      <c r="AP55" s="13"/>
      <c r="AQ55" s="22">
        <v>4.6051060000000001</v>
      </c>
      <c r="AR55" s="9" t="s">
        <v>26</v>
      </c>
      <c r="AS55" s="22">
        <v>0.39645130000000001</v>
      </c>
      <c r="AT55" s="22">
        <v>0.43604799999999999</v>
      </c>
      <c r="AU55" s="13"/>
      <c r="AV55" s="9"/>
      <c r="AW55" s="9" t="s">
        <v>26</v>
      </c>
      <c r="AX55" s="9"/>
      <c r="AY55" s="9"/>
      <c r="AZ55" s="13"/>
      <c r="BA55" s="9"/>
      <c r="BB55" s="9" t="s">
        <v>26</v>
      </c>
      <c r="BC55" s="9"/>
      <c r="BD55" s="9"/>
      <c r="BE55" s="13"/>
      <c r="BF55" s="22">
        <v>4.7645549999999997</v>
      </c>
      <c r="BG55" s="9" t="s">
        <v>26</v>
      </c>
      <c r="BH55" s="22">
        <v>0.37064570000000002</v>
      </c>
      <c r="BI55" s="22">
        <v>0.243284</v>
      </c>
      <c r="BJ55" s="13"/>
      <c r="BK55" s="22">
        <v>4.3813040000000001</v>
      </c>
      <c r="BL55" s="9" t="s">
        <v>26</v>
      </c>
      <c r="BM55" s="22">
        <v>0.38647819999999999</v>
      </c>
      <c r="BN55" s="22">
        <v>0.59207500000000002</v>
      </c>
      <c r="BO55" s="13"/>
      <c r="BP55" s="22">
        <v>4.1078169999999998</v>
      </c>
      <c r="BQ55" s="9" t="s">
        <v>26</v>
      </c>
      <c r="BR55" s="22">
        <v>0.70875560000000004</v>
      </c>
      <c r="BS55" s="22">
        <v>1.7600100000000001</v>
      </c>
      <c r="BT55" s="13"/>
      <c r="BU55" s="22">
        <v>8.2865830000000003</v>
      </c>
      <c r="BV55" s="9" t="s">
        <v>26</v>
      </c>
      <c r="BW55" s="22">
        <v>0.86944460000000001</v>
      </c>
      <c r="BX55" s="23">
        <v>0.72518899999999997</v>
      </c>
    </row>
    <row r="56" spans="1:76" ht="15" thickBot="1" x14ac:dyDescent="0.4">
      <c r="A56" s="13" t="s">
        <v>80</v>
      </c>
      <c r="B56" s="13" t="s">
        <v>46</v>
      </c>
      <c r="C56" s="13" t="s">
        <v>84</v>
      </c>
      <c r="D56" s="13">
        <v>4.1189999999999997E-2</v>
      </c>
      <c r="E56" s="21">
        <v>45000</v>
      </c>
      <c r="F56" s="13">
        <v>4.8820833333333331</v>
      </c>
      <c r="G56" s="13"/>
      <c r="H56" s="22">
        <v>47.154670000000003</v>
      </c>
      <c r="I56" s="9" t="s">
        <v>26</v>
      </c>
      <c r="J56" s="22">
        <v>2.4063639999999999</v>
      </c>
      <c r="K56" s="22">
        <v>1.1815199999999999</v>
      </c>
      <c r="L56" s="13"/>
      <c r="M56" s="22">
        <v>5.7541370000000001</v>
      </c>
      <c r="N56" s="9" t="s">
        <v>26</v>
      </c>
      <c r="O56" s="22">
        <v>0.88066299999999997</v>
      </c>
      <c r="P56" s="22">
        <v>1.23584</v>
      </c>
      <c r="Q56" s="13"/>
      <c r="R56" s="9"/>
      <c r="S56" s="9" t="s">
        <v>26</v>
      </c>
      <c r="T56" s="9"/>
      <c r="U56" s="22">
        <v>0.12947800000000001</v>
      </c>
      <c r="V56" s="13"/>
      <c r="W56" s="22">
        <v>9.7929940000000002</v>
      </c>
      <c r="X56" s="9" t="s">
        <v>26</v>
      </c>
      <c r="Y56" s="22">
        <v>0.70921020000000001</v>
      </c>
      <c r="Z56" s="22">
        <v>0.50264299999999995</v>
      </c>
      <c r="AA56" s="13"/>
      <c r="AB56" s="9"/>
      <c r="AC56" s="9" t="s">
        <v>26</v>
      </c>
      <c r="AD56" s="9"/>
      <c r="AE56" s="22">
        <v>0.34436299999999997</v>
      </c>
      <c r="AF56" s="13"/>
      <c r="AG56" s="22">
        <v>11.040929999999999</v>
      </c>
      <c r="AH56" s="9" t="s">
        <v>26</v>
      </c>
      <c r="AI56" s="22">
        <v>0.89473380000000002</v>
      </c>
      <c r="AJ56" s="22">
        <v>0.10452500000000001</v>
      </c>
      <c r="AK56" s="13"/>
      <c r="AL56" s="22">
        <v>10.73649</v>
      </c>
      <c r="AM56" s="9" t="s">
        <v>26</v>
      </c>
      <c r="AN56" s="22">
        <v>0.72732750000000002</v>
      </c>
      <c r="AO56" s="22">
        <v>1.5649599999999999</v>
      </c>
      <c r="AP56" s="13"/>
      <c r="AQ56" s="22">
        <v>4.64384</v>
      </c>
      <c r="AR56" s="9" t="s">
        <v>26</v>
      </c>
      <c r="AS56" s="22">
        <v>0.39978590000000003</v>
      </c>
      <c r="AT56" s="22">
        <v>0.43971500000000002</v>
      </c>
      <c r="AU56" s="13"/>
      <c r="AV56" s="9"/>
      <c r="AW56" s="9" t="s">
        <v>26</v>
      </c>
      <c r="AX56" s="9"/>
      <c r="AY56" s="9"/>
      <c r="AZ56" s="13"/>
      <c r="BA56" s="9"/>
      <c r="BB56" s="9" t="s">
        <v>26</v>
      </c>
      <c r="BC56" s="9"/>
      <c r="BD56" s="9"/>
      <c r="BE56" s="13"/>
      <c r="BF56" s="22">
        <v>4.814451</v>
      </c>
      <c r="BG56" s="9" t="s">
        <v>26</v>
      </c>
      <c r="BH56" s="22">
        <v>0.37452730000000001</v>
      </c>
      <c r="BI56" s="22">
        <v>0.24583199999999999</v>
      </c>
      <c r="BJ56" s="13"/>
      <c r="BK56" s="22">
        <v>4.434075</v>
      </c>
      <c r="BL56" s="9" t="s">
        <v>26</v>
      </c>
      <c r="BM56" s="22">
        <v>0.39113310000000001</v>
      </c>
      <c r="BN56" s="22">
        <v>0.59920600000000002</v>
      </c>
      <c r="BO56" s="13"/>
      <c r="BP56" s="22">
        <v>4.1628020000000001</v>
      </c>
      <c r="BQ56" s="9" t="s">
        <v>26</v>
      </c>
      <c r="BR56" s="22">
        <v>0.71824270000000001</v>
      </c>
      <c r="BS56" s="22">
        <v>1.7835700000000001</v>
      </c>
      <c r="BT56" s="13"/>
      <c r="BU56" s="22">
        <v>8.5817960000000006</v>
      </c>
      <c r="BV56" s="9" t="s">
        <v>26</v>
      </c>
      <c r="BW56" s="22">
        <v>0.90041890000000002</v>
      </c>
      <c r="BX56" s="23">
        <v>0.75102400000000002</v>
      </c>
    </row>
    <row r="57" spans="1:76" ht="15" thickBot="1" x14ac:dyDescent="0.4">
      <c r="A57" s="13" t="s">
        <v>80</v>
      </c>
      <c r="B57" s="13" t="s">
        <v>46</v>
      </c>
      <c r="C57" s="13" t="s">
        <v>85</v>
      </c>
      <c r="D57" s="13">
        <v>4.1189999999999997E-2</v>
      </c>
      <c r="E57" s="21">
        <v>45000</v>
      </c>
      <c r="F57" s="13">
        <v>4.8820833333333331</v>
      </c>
      <c r="G57" s="13"/>
      <c r="H57" s="22">
        <v>46.872630000000001</v>
      </c>
      <c r="I57" s="9" t="s">
        <v>26</v>
      </c>
      <c r="J57" s="22">
        <v>2.3919709999999998</v>
      </c>
      <c r="K57" s="22">
        <v>1.17445</v>
      </c>
      <c r="L57" s="13"/>
      <c r="M57" s="22">
        <v>5.2317840000000002</v>
      </c>
      <c r="N57" s="9" t="s">
        <v>26</v>
      </c>
      <c r="O57" s="22">
        <v>0.80073170000000005</v>
      </c>
      <c r="P57" s="22">
        <v>1.12365</v>
      </c>
      <c r="Q57" s="13"/>
      <c r="R57" s="9"/>
      <c r="S57" s="9" t="s">
        <v>26</v>
      </c>
      <c r="T57" s="9"/>
      <c r="U57" s="22">
        <v>0.128359</v>
      </c>
      <c r="V57" s="13"/>
      <c r="W57" s="22">
        <v>9.7195800000000006</v>
      </c>
      <c r="X57" s="9" t="s">
        <v>26</v>
      </c>
      <c r="Y57" s="22">
        <v>0.70389349999999995</v>
      </c>
      <c r="Z57" s="22">
        <v>0.49887500000000001</v>
      </c>
      <c r="AA57" s="13"/>
      <c r="AB57" s="9"/>
      <c r="AC57" s="9" t="s">
        <v>26</v>
      </c>
      <c r="AD57" s="9"/>
      <c r="AE57" s="22">
        <v>0.34161599999999998</v>
      </c>
      <c r="AF57" s="13"/>
      <c r="AG57" s="22">
        <v>10.897119999999999</v>
      </c>
      <c r="AH57" s="9" t="s">
        <v>26</v>
      </c>
      <c r="AI57" s="22">
        <v>0.88307970000000002</v>
      </c>
      <c r="AJ57" s="22">
        <v>0.103163</v>
      </c>
      <c r="AK57" s="13"/>
      <c r="AL57" s="22">
        <v>10.64742</v>
      </c>
      <c r="AM57" s="9" t="s">
        <v>26</v>
      </c>
      <c r="AN57" s="22">
        <v>0.72129379999999998</v>
      </c>
      <c r="AO57" s="22">
        <v>1.5519799999999999</v>
      </c>
      <c r="AP57" s="13"/>
      <c r="AQ57" s="22">
        <v>4.6022980000000002</v>
      </c>
      <c r="AR57" s="9" t="s">
        <v>26</v>
      </c>
      <c r="AS57" s="22">
        <v>0.3962096</v>
      </c>
      <c r="AT57" s="22">
        <v>0.435782</v>
      </c>
      <c r="AU57" s="13"/>
      <c r="AV57" s="9"/>
      <c r="AW57" s="9" t="s">
        <v>26</v>
      </c>
      <c r="AX57" s="9"/>
      <c r="AY57" s="9"/>
      <c r="AZ57" s="13"/>
      <c r="BA57" s="9"/>
      <c r="BB57" s="9" t="s">
        <v>26</v>
      </c>
      <c r="BC57" s="9"/>
      <c r="BD57" s="9"/>
      <c r="BE57" s="13"/>
      <c r="BF57" s="22">
        <v>4.760694</v>
      </c>
      <c r="BG57" s="9" t="s">
        <v>26</v>
      </c>
      <c r="BH57" s="22">
        <v>0.37034539999999999</v>
      </c>
      <c r="BI57" s="22">
        <v>0.243087</v>
      </c>
      <c r="BJ57" s="13"/>
      <c r="BK57" s="22">
        <v>4.3766530000000001</v>
      </c>
      <c r="BL57" s="9" t="s">
        <v>26</v>
      </c>
      <c r="BM57" s="22">
        <v>0.38606790000000002</v>
      </c>
      <c r="BN57" s="22">
        <v>0.59144600000000003</v>
      </c>
      <c r="BO57" s="13"/>
      <c r="BP57" s="22">
        <v>4.1019110000000003</v>
      </c>
      <c r="BQ57" s="9" t="s">
        <v>26</v>
      </c>
      <c r="BR57" s="22">
        <v>0.7077367</v>
      </c>
      <c r="BS57" s="22">
        <v>1.7574799999999999</v>
      </c>
      <c r="BT57" s="13"/>
      <c r="BU57" s="22">
        <v>8.1735959999999999</v>
      </c>
      <c r="BV57" s="9" t="s">
        <v>26</v>
      </c>
      <c r="BW57" s="22">
        <v>0.85758979999999996</v>
      </c>
      <c r="BX57" s="23">
        <v>0.71530099999999996</v>
      </c>
    </row>
    <row r="58" spans="1:76" ht="15" thickBot="1" x14ac:dyDescent="0.4">
      <c r="A58" s="13" t="s">
        <v>80</v>
      </c>
      <c r="B58" s="13" t="s">
        <v>46</v>
      </c>
      <c r="C58" s="13" t="s">
        <v>86</v>
      </c>
      <c r="D58" s="13">
        <v>4.1189999999999997E-2</v>
      </c>
      <c r="E58" s="21">
        <v>45000</v>
      </c>
      <c r="F58" s="13">
        <v>4.8820833333333331</v>
      </c>
      <c r="G58" s="13"/>
      <c r="H58" s="22">
        <v>47.067950000000003</v>
      </c>
      <c r="I58" s="9" t="s">
        <v>26</v>
      </c>
      <c r="J58" s="22">
        <v>2.4019379999999999</v>
      </c>
      <c r="K58" s="22">
        <v>1.1793499999999999</v>
      </c>
      <c r="L58" s="13"/>
      <c r="M58" s="22">
        <v>4.6917790000000004</v>
      </c>
      <c r="N58" s="9" t="s">
        <v>26</v>
      </c>
      <c r="O58" s="22">
        <v>0.71808329999999998</v>
      </c>
      <c r="P58" s="22">
        <v>1.0076700000000001</v>
      </c>
      <c r="Q58" s="13"/>
      <c r="R58" s="9"/>
      <c r="S58" s="9" t="s">
        <v>26</v>
      </c>
      <c r="T58" s="9"/>
      <c r="U58" s="22">
        <v>0.12914100000000001</v>
      </c>
      <c r="V58" s="13"/>
      <c r="W58" s="22">
        <v>9.7710129999999999</v>
      </c>
      <c r="X58" s="9" t="s">
        <v>26</v>
      </c>
      <c r="Y58" s="22">
        <v>0.70761830000000003</v>
      </c>
      <c r="Z58" s="22">
        <v>0.50151500000000004</v>
      </c>
      <c r="AA58" s="13"/>
      <c r="AB58" s="9"/>
      <c r="AC58" s="9" t="s">
        <v>26</v>
      </c>
      <c r="AD58" s="9"/>
      <c r="AE58" s="22">
        <v>0.34353899999999998</v>
      </c>
      <c r="AF58" s="13"/>
      <c r="AG58" s="22">
        <v>10.9884</v>
      </c>
      <c r="AH58" s="9" t="s">
        <v>26</v>
      </c>
      <c r="AI58" s="22">
        <v>0.89047670000000001</v>
      </c>
      <c r="AJ58" s="22">
        <v>0.104028</v>
      </c>
      <c r="AK58" s="13"/>
      <c r="AL58" s="22">
        <v>10.70973</v>
      </c>
      <c r="AM58" s="9" t="s">
        <v>26</v>
      </c>
      <c r="AN58" s="22">
        <v>0.72551509999999997</v>
      </c>
      <c r="AO58" s="22">
        <v>1.5610599999999999</v>
      </c>
      <c r="AP58" s="13"/>
      <c r="AQ58" s="22">
        <v>4.6313190000000004</v>
      </c>
      <c r="AR58" s="9" t="s">
        <v>26</v>
      </c>
      <c r="AS58" s="22">
        <v>0.39870800000000001</v>
      </c>
      <c r="AT58" s="22">
        <v>0.43852999999999998</v>
      </c>
      <c r="AU58" s="13"/>
      <c r="AV58" s="9"/>
      <c r="AW58" s="9" t="s">
        <v>26</v>
      </c>
      <c r="AX58" s="9"/>
      <c r="AY58" s="9"/>
      <c r="AZ58" s="13"/>
      <c r="BA58" s="9"/>
      <c r="BB58" s="9" t="s">
        <v>26</v>
      </c>
      <c r="BC58" s="9"/>
      <c r="BD58" s="9"/>
      <c r="BE58" s="13"/>
      <c r="BF58" s="22">
        <v>4.7973319999999999</v>
      </c>
      <c r="BG58" s="9" t="s">
        <v>26</v>
      </c>
      <c r="BH58" s="22">
        <v>0.37319550000000001</v>
      </c>
      <c r="BI58" s="22">
        <v>0.24495800000000001</v>
      </c>
      <c r="BJ58" s="13"/>
      <c r="BK58" s="22">
        <v>4.4132569999999998</v>
      </c>
      <c r="BL58" s="9" t="s">
        <v>26</v>
      </c>
      <c r="BM58" s="22">
        <v>0.3892967</v>
      </c>
      <c r="BN58" s="22">
        <v>0.59639299999999995</v>
      </c>
      <c r="BO58" s="13"/>
      <c r="BP58" s="22">
        <v>4.1352770000000003</v>
      </c>
      <c r="BQ58" s="9" t="s">
        <v>26</v>
      </c>
      <c r="BR58" s="22">
        <v>0.71349359999999995</v>
      </c>
      <c r="BS58" s="22">
        <v>1.7717700000000001</v>
      </c>
      <c r="BT58" s="13"/>
      <c r="BU58" s="22">
        <v>7.8931380000000004</v>
      </c>
      <c r="BV58" s="9" t="s">
        <v>26</v>
      </c>
      <c r="BW58" s="22">
        <v>0.8281636</v>
      </c>
      <c r="BX58" s="23">
        <v>0.69075699999999995</v>
      </c>
    </row>
    <row r="59" spans="1:76" ht="15" thickBot="1" x14ac:dyDescent="0.4">
      <c r="A59" s="13" t="s">
        <v>80</v>
      </c>
      <c r="B59" s="13" t="s">
        <v>46</v>
      </c>
      <c r="C59" s="13" t="s">
        <v>87</v>
      </c>
      <c r="D59" s="13">
        <v>4.1189999999999997E-2</v>
      </c>
      <c r="E59" s="21">
        <v>45000</v>
      </c>
      <c r="F59" s="13">
        <v>4.8820833333333331</v>
      </c>
      <c r="G59" s="13"/>
      <c r="H59" s="22">
        <v>46.834319999999998</v>
      </c>
      <c r="I59" s="9" t="s">
        <v>26</v>
      </c>
      <c r="J59" s="22">
        <v>2.3900160000000001</v>
      </c>
      <c r="K59" s="22">
        <v>1.1734899999999999</v>
      </c>
      <c r="L59" s="13"/>
      <c r="M59" s="22">
        <v>6.18736</v>
      </c>
      <c r="N59" s="9" t="s">
        <v>26</v>
      </c>
      <c r="O59" s="22">
        <v>0.94698400000000005</v>
      </c>
      <c r="P59" s="22">
        <v>1.3288899999999999</v>
      </c>
      <c r="Q59" s="13"/>
      <c r="R59" s="9"/>
      <c r="S59" s="9" t="s">
        <v>26</v>
      </c>
      <c r="T59" s="9"/>
      <c r="U59" s="22">
        <v>0.12820799999999999</v>
      </c>
      <c r="V59" s="13"/>
      <c r="W59" s="22">
        <v>9.7094170000000002</v>
      </c>
      <c r="X59" s="9" t="s">
        <v>26</v>
      </c>
      <c r="Y59" s="22">
        <v>0.70315749999999999</v>
      </c>
      <c r="Z59" s="22">
        <v>0.49835299999999999</v>
      </c>
      <c r="AA59" s="13"/>
      <c r="AB59" s="9"/>
      <c r="AC59" s="9" t="s">
        <v>26</v>
      </c>
      <c r="AD59" s="9"/>
      <c r="AE59" s="22">
        <v>0.34123900000000001</v>
      </c>
      <c r="AF59" s="13"/>
      <c r="AG59" s="22">
        <v>10.890319999999999</v>
      </c>
      <c r="AH59" s="9" t="s">
        <v>26</v>
      </c>
      <c r="AI59" s="22">
        <v>0.88252900000000001</v>
      </c>
      <c r="AJ59" s="22">
        <v>0.103099</v>
      </c>
      <c r="AK59" s="13"/>
      <c r="AL59" s="22">
        <v>10.63527</v>
      </c>
      <c r="AM59" s="9" t="s">
        <v>26</v>
      </c>
      <c r="AN59" s="22">
        <v>0.72047099999999997</v>
      </c>
      <c r="AO59" s="22">
        <v>1.5502100000000001</v>
      </c>
      <c r="AP59" s="13"/>
      <c r="AQ59" s="22">
        <v>4.5967260000000003</v>
      </c>
      <c r="AR59" s="9" t="s">
        <v>26</v>
      </c>
      <c r="AS59" s="22">
        <v>0.39572990000000002</v>
      </c>
      <c r="AT59" s="22">
        <v>0.43525399999999997</v>
      </c>
      <c r="AU59" s="13"/>
      <c r="AV59" s="9"/>
      <c r="AW59" s="9" t="s">
        <v>26</v>
      </c>
      <c r="AX59" s="9"/>
      <c r="AY59" s="9"/>
      <c r="AZ59" s="13"/>
      <c r="BA59" s="9"/>
      <c r="BB59" s="9" t="s">
        <v>26</v>
      </c>
      <c r="BC59" s="9"/>
      <c r="BD59" s="9"/>
      <c r="BE59" s="13"/>
      <c r="BF59" s="22">
        <v>4.7548380000000003</v>
      </c>
      <c r="BG59" s="9" t="s">
        <v>26</v>
      </c>
      <c r="BH59" s="22">
        <v>0.36988979999999999</v>
      </c>
      <c r="BI59" s="22">
        <v>0.242788</v>
      </c>
      <c r="BJ59" s="13"/>
      <c r="BK59" s="22">
        <v>4.3737300000000001</v>
      </c>
      <c r="BL59" s="9" t="s">
        <v>26</v>
      </c>
      <c r="BM59" s="22">
        <v>0.38580999999999999</v>
      </c>
      <c r="BN59" s="22">
        <v>0.59105099999999999</v>
      </c>
      <c r="BO59" s="13"/>
      <c r="BP59" s="22">
        <v>4.1054899999999996</v>
      </c>
      <c r="BQ59" s="9" t="s">
        <v>26</v>
      </c>
      <c r="BR59" s="22">
        <v>0.70835420000000004</v>
      </c>
      <c r="BS59" s="22">
        <v>1.75901</v>
      </c>
      <c r="BT59" s="13"/>
      <c r="BU59" s="22">
        <v>8.7634880000000006</v>
      </c>
      <c r="BV59" s="9" t="s">
        <v>26</v>
      </c>
      <c r="BW59" s="22">
        <v>0.91948240000000003</v>
      </c>
      <c r="BX59" s="23">
        <v>0.76692499999999997</v>
      </c>
    </row>
    <row r="60" spans="1:76" ht="15" thickBot="1" x14ac:dyDescent="0.4">
      <c r="A60" s="13" t="s">
        <v>80</v>
      </c>
      <c r="B60" s="13" t="s">
        <v>46</v>
      </c>
      <c r="C60" s="13" t="s">
        <v>88</v>
      </c>
      <c r="D60" s="13">
        <v>4.1189999999999997E-2</v>
      </c>
      <c r="E60" s="21">
        <v>45000</v>
      </c>
      <c r="F60" s="13">
        <v>4.8820833333333331</v>
      </c>
      <c r="G60" s="13"/>
      <c r="H60" s="22">
        <v>46.853439999999999</v>
      </c>
      <c r="I60" s="9" t="s">
        <v>26</v>
      </c>
      <c r="J60" s="22">
        <v>2.3909910000000001</v>
      </c>
      <c r="K60" s="22">
        <v>1.17397</v>
      </c>
      <c r="L60" s="13"/>
      <c r="M60" s="22">
        <v>5.5098409999999998</v>
      </c>
      <c r="N60" s="9" t="s">
        <v>26</v>
      </c>
      <c r="O60" s="22">
        <v>0.84328860000000005</v>
      </c>
      <c r="P60" s="22">
        <v>1.18337</v>
      </c>
      <c r="Q60" s="13"/>
      <c r="R60" s="9"/>
      <c r="S60" s="9" t="s">
        <v>26</v>
      </c>
      <c r="T60" s="9"/>
      <c r="U60" s="22">
        <v>0.12828300000000001</v>
      </c>
      <c r="V60" s="13"/>
      <c r="W60" s="22">
        <v>9.71448</v>
      </c>
      <c r="X60" s="9" t="s">
        <v>26</v>
      </c>
      <c r="Y60" s="22">
        <v>0.70352429999999999</v>
      </c>
      <c r="Z60" s="22">
        <v>0.49861299999999997</v>
      </c>
      <c r="AA60" s="13"/>
      <c r="AB60" s="9"/>
      <c r="AC60" s="9" t="s">
        <v>26</v>
      </c>
      <c r="AD60" s="9"/>
      <c r="AE60" s="22">
        <v>0.34142600000000001</v>
      </c>
      <c r="AF60" s="13"/>
      <c r="AG60" s="22">
        <v>10.890930000000001</v>
      </c>
      <c r="AH60" s="9" t="s">
        <v>26</v>
      </c>
      <c r="AI60" s="22">
        <v>0.88257830000000004</v>
      </c>
      <c r="AJ60" s="22">
        <v>0.103105</v>
      </c>
      <c r="AK60" s="13"/>
      <c r="AL60" s="22">
        <v>10.641299999999999</v>
      </c>
      <c r="AM60" s="9" t="s">
        <v>26</v>
      </c>
      <c r="AN60" s="22">
        <v>0.72087939999999995</v>
      </c>
      <c r="AO60" s="22">
        <v>1.5510900000000001</v>
      </c>
      <c r="AP60" s="13"/>
      <c r="AQ60" s="22">
        <v>4.5994609999999998</v>
      </c>
      <c r="AR60" s="9" t="s">
        <v>26</v>
      </c>
      <c r="AS60" s="22">
        <v>0.39596540000000002</v>
      </c>
      <c r="AT60" s="22">
        <v>0.43551299999999998</v>
      </c>
      <c r="AU60" s="13"/>
      <c r="AV60" s="9"/>
      <c r="AW60" s="9" t="s">
        <v>26</v>
      </c>
      <c r="AX60" s="9"/>
      <c r="AY60" s="9"/>
      <c r="AZ60" s="13"/>
      <c r="BA60" s="9"/>
      <c r="BB60" s="9" t="s">
        <v>26</v>
      </c>
      <c r="BC60" s="9"/>
      <c r="BD60" s="9"/>
      <c r="BE60" s="13"/>
      <c r="BF60" s="22">
        <v>4.7573980000000002</v>
      </c>
      <c r="BG60" s="9" t="s">
        <v>26</v>
      </c>
      <c r="BH60" s="22">
        <v>0.370089</v>
      </c>
      <c r="BI60" s="22">
        <v>0.242919</v>
      </c>
      <c r="BJ60" s="13"/>
      <c r="BK60" s="22">
        <v>4.3741190000000003</v>
      </c>
      <c r="BL60" s="9" t="s">
        <v>26</v>
      </c>
      <c r="BM60" s="22">
        <v>0.38584439999999998</v>
      </c>
      <c r="BN60" s="22">
        <v>0.59110399999999996</v>
      </c>
      <c r="BO60" s="13"/>
      <c r="BP60" s="22">
        <v>4.1012199999999996</v>
      </c>
      <c r="BQ60" s="9" t="s">
        <v>26</v>
      </c>
      <c r="BR60" s="22">
        <v>0.7076173</v>
      </c>
      <c r="BS60" s="22">
        <v>1.75718</v>
      </c>
      <c r="BT60" s="13"/>
      <c r="BU60" s="22">
        <v>8.3428249999999995</v>
      </c>
      <c r="BV60" s="9" t="s">
        <v>26</v>
      </c>
      <c r="BW60" s="22">
        <v>0.8753457</v>
      </c>
      <c r="BX60" s="23">
        <v>0.73011099999999995</v>
      </c>
    </row>
    <row r="61" spans="1:76" ht="15" thickBot="1" x14ac:dyDescent="0.4">
      <c r="A61" s="13" t="s">
        <v>80</v>
      </c>
      <c r="B61" s="13" t="s">
        <v>46</v>
      </c>
      <c r="C61" s="13" t="s">
        <v>89</v>
      </c>
      <c r="D61" s="13">
        <v>4.1189999999999997E-2</v>
      </c>
      <c r="E61" s="21">
        <v>45000</v>
      </c>
      <c r="F61" s="13">
        <v>4.8820833333333331</v>
      </c>
      <c r="G61" s="11"/>
      <c r="H61" s="18">
        <v>46.891469999999998</v>
      </c>
      <c r="I61" s="10" t="s">
        <v>26</v>
      </c>
      <c r="J61" s="18">
        <v>2.3929320000000001</v>
      </c>
      <c r="K61" s="18">
        <v>1.17493</v>
      </c>
      <c r="L61" s="11"/>
      <c r="M61" s="18">
        <v>5.3961459999999999</v>
      </c>
      <c r="N61" s="10" t="s">
        <v>26</v>
      </c>
      <c r="O61" s="18">
        <v>0.8258875</v>
      </c>
      <c r="P61" s="18">
        <v>1.1589499999999999</v>
      </c>
      <c r="Q61" s="11"/>
      <c r="R61" s="10"/>
      <c r="S61" s="10" t="s">
        <v>26</v>
      </c>
      <c r="T61" s="10"/>
      <c r="U61" s="18">
        <v>0.12843499999999999</v>
      </c>
      <c r="V61" s="11"/>
      <c r="W61" s="18">
        <v>9.7245019999999993</v>
      </c>
      <c r="X61" s="10" t="s">
        <v>26</v>
      </c>
      <c r="Y61" s="18">
        <v>0.70425000000000004</v>
      </c>
      <c r="Z61" s="18">
        <v>0.49912699999999999</v>
      </c>
      <c r="AA61" s="11"/>
      <c r="AB61" s="10"/>
      <c r="AC61" s="10" t="s">
        <v>26</v>
      </c>
      <c r="AD61" s="10"/>
      <c r="AE61" s="18">
        <v>0.34180100000000002</v>
      </c>
      <c r="AF61" s="11"/>
      <c r="AG61" s="18">
        <v>10.90884</v>
      </c>
      <c r="AH61" s="10" t="s">
        <v>26</v>
      </c>
      <c r="AI61" s="18">
        <v>0.88402970000000003</v>
      </c>
      <c r="AJ61" s="18">
        <v>0.103274</v>
      </c>
      <c r="AK61" s="11"/>
      <c r="AL61" s="18">
        <v>10.65344</v>
      </c>
      <c r="AM61" s="10" t="s">
        <v>26</v>
      </c>
      <c r="AN61" s="18">
        <v>0.72170160000000005</v>
      </c>
      <c r="AO61" s="18">
        <v>1.5528599999999999</v>
      </c>
      <c r="AP61" s="11"/>
      <c r="AQ61" s="18">
        <v>4.6051060000000001</v>
      </c>
      <c r="AR61" s="10" t="s">
        <v>26</v>
      </c>
      <c r="AS61" s="18">
        <v>0.39645130000000001</v>
      </c>
      <c r="AT61" s="18">
        <v>0.43604799999999999</v>
      </c>
      <c r="AU61" s="11"/>
      <c r="AV61" s="10"/>
      <c r="AW61" s="10" t="s">
        <v>26</v>
      </c>
      <c r="AX61" s="10"/>
      <c r="AY61" s="10"/>
      <c r="AZ61" s="11"/>
      <c r="BA61" s="10"/>
      <c r="BB61" s="10" t="s">
        <v>26</v>
      </c>
      <c r="BC61" s="10"/>
      <c r="BD61" s="10"/>
      <c r="BE61" s="11"/>
      <c r="BF61" s="18">
        <v>4.7645549999999997</v>
      </c>
      <c r="BG61" s="10" t="s">
        <v>26</v>
      </c>
      <c r="BH61" s="18">
        <v>0.37064570000000002</v>
      </c>
      <c r="BI61" s="18">
        <v>0.243284</v>
      </c>
      <c r="BJ61" s="11"/>
      <c r="BK61" s="18">
        <v>4.3813040000000001</v>
      </c>
      <c r="BL61" s="10" t="s">
        <v>26</v>
      </c>
      <c r="BM61" s="18">
        <v>0.38647819999999999</v>
      </c>
      <c r="BN61" s="18">
        <v>0.59207500000000002</v>
      </c>
      <c r="BO61" s="11"/>
      <c r="BP61" s="18">
        <v>4.1078169999999998</v>
      </c>
      <c r="BQ61" s="10" t="s">
        <v>26</v>
      </c>
      <c r="BR61" s="18">
        <v>0.70875560000000004</v>
      </c>
      <c r="BS61" s="18">
        <v>1.7600100000000001</v>
      </c>
      <c r="BT61" s="11"/>
      <c r="BU61" s="18">
        <v>8.2865830000000003</v>
      </c>
      <c r="BV61" s="10" t="s">
        <v>26</v>
      </c>
      <c r="BW61" s="18">
        <v>0.86944460000000001</v>
      </c>
      <c r="BX61" s="19">
        <v>0.72518899999999997</v>
      </c>
    </row>
    <row r="62" spans="1:76" ht="15" thickBot="1" x14ac:dyDescent="0.4">
      <c r="A62" s="10" t="s">
        <v>80</v>
      </c>
      <c r="B62" s="11" t="s">
        <v>46</v>
      </c>
      <c r="C62" s="11" t="s">
        <v>82</v>
      </c>
      <c r="D62" s="11">
        <v>4.1189999999999997E-2</v>
      </c>
      <c r="E62" s="20">
        <v>45000</v>
      </c>
      <c r="F62" s="11">
        <v>4.8820833333333331</v>
      </c>
      <c r="G62" s="14"/>
      <c r="H62" s="16">
        <v>47.909910000000004</v>
      </c>
      <c r="I62" s="15" t="s">
        <v>26</v>
      </c>
      <c r="J62" s="16">
        <v>2.4449040000000002</v>
      </c>
      <c r="K62" s="16">
        <v>1.20044</v>
      </c>
      <c r="L62" s="14"/>
      <c r="M62" s="16">
        <v>5.539015</v>
      </c>
      <c r="N62" s="15" t="s">
        <v>26</v>
      </c>
      <c r="O62" s="16">
        <v>0.84775370000000005</v>
      </c>
      <c r="P62" s="16">
        <v>1.18964</v>
      </c>
      <c r="Q62" s="14"/>
      <c r="R62" s="15"/>
      <c r="S62" s="15" t="s">
        <v>26</v>
      </c>
      <c r="T62" s="15"/>
      <c r="U62" s="16">
        <v>0.13250200000000001</v>
      </c>
      <c r="V62" s="14"/>
      <c r="W62" s="16">
        <v>9.9912320000000001</v>
      </c>
      <c r="X62" s="15" t="s">
        <v>26</v>
      </c>
      <c r="Y62" s="16">
        <v>0.72356659999999995</v>
      </c>
      <c r="Z62" s="16">
        <v>0.512818</v>
      </c>
      <c r="AA62" s="14"/>
      <c r="AB62" s="15"/>
      <c r="AC62" s="15" t="s">
        <v>26</v>
      </c>
      <c r="AD62" s="15"/>
      <c r="AE62" s="16">
        <v>0.35178399999999999</v>
      </c>
      <c r="AF62" s="14"/>
      <c r="AG62" s="16">
        <v>11.415290000000001</v>
      </c>
      <c r="AH62" s="15" t="s">
        <v>26</v>
      </c>
      <c r="AI62" s="16">
        <v>0.92507099999999998</v>
      </c>
      <c r="AJ62" s="16">
        <v>0.108069</v>
      </c>
      <c r="AK62" s="14"/>
      <c r="AL62" s="16">
        <v>10.9772</v>
      </c>
      <c r="AM62" s="15" t="s">
        <v>26</v>
      </c>
      <c r="AN62" s="16">
        <v>0.74363449999999998</v>
      </c>
      <c r="AO62" s="16">
        <v>1.60005</v>
      </c>
      <c r="AP62" s="14"/>
      <c r="AQ62" s="16">
        <v>4.7560969999999996</v>
      </c>
      <c r="AR62" s="15" t="s">
        <v>26</v>
      </c>
      <c r="AS62" s="16">
        <v>0.40945009999999998</v>
      </c>
      <c r="AT62" s="16">
        <v>0.450345</v>
      </c>
      <c r="AU62" s="14"/>
      <c r="AV62" s="15"/>
      <c r="AW62" s="15" t="s">
        <v>26</v>
      </c>
      <c r="AX62" s="15"/>
      <c r="AY62" s="15"/>
      <c r="AZ62" s="14"/>
      <c r="BA62" s="15"/>
      <c r="BB62" s="15" t="s">
        <v>26</v>
      </c>
      <c r="BC62" s="15"/>
      <c r="BD62" s="15"/>
      <c r="BE62" s="14"/>
      <c r="BF62" s="16">
        <v>4.9585549999999996</v>
      </c>
      <c r="BG62" s="15" t="s">
        <v>26</v>
      </c>
      <c r="BH62" s="16">
        <v>0.38573740000000001</v>
      </c>
      <c r="BI62" s="16">
        <v>0.25319000000000003</v>
      </c>
      <c r="BJ62" s="14"/>
      <c r="BK62" s="16">
        <v>4.583812</v>
      </c>
      <c r="BL62" s="15" t="s">
        <v>26</v>
      </c>
      <c r="BM62" s="16">
        <v>0.40434160000000002</v>
      </c>
      <c r="BN62" s="16">
        <v>0.61944100000000002</v>
      </c>
      <c r="BO62" s="14"/>
      <c r="BP62" s="16">
        <v>4.3122850000000001</v>
      </c>
      <c r="BQ62" s="15" t="s">
        <v>26</v>
      </c>
      <c r="BR62" s="16">
        <v>0.74403430000000004</v>
      </c>
      <c r="BS62" s="16">
        <v>1.84761</v>
      </c>
      <c r="BT62" s="14"/>
      <c r="BU62" s="16">
        <v>8.6862829999999995</v>
      </c>
      <c r="BV62" s="15" t="s">
        <v>26</v>
      </c>
      <c r="BW62" s="16">
        <v>0.91138189999999997</v>
      </c>
      <c r="BX62" s="17">
        <v>0.76016799999999995</v>
      </c>
    </row>
    <row r="63" spans="1:76" ht="15" thickBot="1" x14ac:dyDescent="0.4"/>
    <row r="64" spans="1:76" ht="15" thickBot="1" x14ac:dyDescent="0.4">
      <c r="G64" s="13" t="s">
        <v>18</v>
      </c>
      <c r="H64" s="9" t="s">
        <v>24</v>
      </c>
      <c r="I64" s="9"/>
      <c r="J64" s="9"/>
      <c r="K64" s="9"/>
      <c r="L64" s="13" t="s">
        <v>1</v>
      </c>
      <c r="M64" s="9" t="s">
        <v>23</v>
      </c>
      <c r="N64" s="9"/>
      <c r="O64" s="9"/>
      <c r="P64" s="9"/>
      <c r="Q64" s="13" t="s">
        <v>2</v>
      </c>
      <c r="R64" s="9" t="s">
        <v>36</v>
      </c>
      <c r="S64" s="9"/>
      <c r="T64" s="9"/>
      <c r="U64" s="9"/>
      <c r="V64" s="13" t="s">
        <v>7</v>
      </c>
      <c r="W64" s="9" t="s">
        <v>38</v>
      </c>
      <c r="X64" s="9"/>
      <c r="Y64" s="9"/>
      <c r="Z64" s="9"/>
      <c r="AA64" s="13" t="s">
        <v>9</v>
      </c>
      <c r="AB64" s="9" t="s">
        <v>73</v>
      </c>
      <c r="AC64" s="9"/>
      <c r="AD64" s="9"/>
      <c r="AE64" s="9"/>
      <c r="AF64" s="13" t="s">
        <v>16</v>
      </c>
      <c r="AG64" s="9" t="s">
        <v>39</v>
      </c>
      <c r="AH64" s="9"/>
      <c r="AI64" s="9"/>
      <c r="AJ64" s="9"/>
      <c r="AK64" s="13" t="s">
        <v>17</v>
      </c>
      <c r="AL64" s="9" t="s">
        <v>40</v>
      </c>
      <c r="AM64" s="9"/>
      <c r="AN64" s="9"/>
      <c r="AO64" s="9"/>
      <c r="AP64" s="13" t="s">
        <v>19</v>
      </c>
      <c r="AQ64" s="9" t="s">
        <v>41</v>
      </c>
      <c r="AR64" s="9"/>
      <c r="AS64" s="9"/>
      <c r="AT64" s="9"/>
      <c r="AU64" s="13" t="s">
        <v>63</v>
      </c>
      <c r="AV64" s="9" t="s">
        <v>64</v>
      </c>
      <c r="AW64" s="9"/>
      <c r="AX64" s="9"/>
      <c r="AY64" s="9"/>
      <c r="AZ64" s="13" t="s">
        <v>65</v>
      </c>
      <c r="BA64" s="9" t="s">
        <v>66</v>
      </c>
      <c r="BB64" s="9"/>
      <c r="BC64" s="9"/>
      <c r="BD64" s="9"/>
      <c r="BE64" s="13" t="s">
        <v>21</v>
      </c>
      <c r="BF64" s="9" t="s">
        <v>42</v>
      </c>
      <c r="BG64" s="9"/>
      <c r="BH64" s="9"/>
      <c r="BI64" s="9"/>
      <c r="BJ64" s="13" t="s">
        <v>22</v>
      </c>
      <c r="BK64" s="9" t="s">
        <v>43</v>
      </c>
      <c r="BL64" s="9"/>
      <c r="BM64" s="9"/>
      <c r="BN64" s="9"/>
      <c r="BO64" s="13" t="s">
        <v>44</v>
      </c>
      <c r="BP64" s="9" t="s">
        <v>45</v>
      </c>
      <c r="BQ64" s="9"/>
      <c r="BR64" s="9"/>
      <c r="BS64" s="9"/>
      <c r="BT64" s="13" t="s">
        <v>47</v>
      </c>
      <c r="BU64" s="9" t="s">
        <v>48</v>
      </c>
      <c r="BV64" s="9"/>
      <c r="BW64" s="9"/>
      <c r="BX64" s="12"/>
    </row>
    <row r="65" spans="1:76" ht="15" thickBot="1" x14ac:dyDescent="0.4">
      <c r="A65" s="13" t="s">
        <v>30</v>
      </c>
      <c r="B65" s="13" t="s">
        <v>29</v>
      </c>
      <c r="C65" s="13" t="s">
        <v>31</v>
      </c>
      <c r="D65" s="13" t="s">
        <v>27</v>
      </c>
      <c r="E65" s="13" t="s">
        <v>25</v>
      </c>
      <c r="F65" s="13" t="s">
        <v>28</v>
      </c>
      <c r="G65" s="13" t="s">
        <v>32</v>
      </c>
      <c r="H65" s="9" t="s">
        <v>33</v>
      </c>
      <c r="I65" s="9"/>
      <c r="J65" s="9" t="s">
        <v>34</v>
      </c>
      <c r="K65" s="9" t="s">
        <v>35</v>
      </c>
      <c r="L65" s="13" t="s">
        <v>32</v>
      </c>
      <c r="M65" s="9" t="s">
        <v>33</v>
      </c>
      <c r="N65" s="9"/>
      <c r="O65" s="9" t="s">
        <v>34</v>
      </c>
      <c r="P65" s="9" t="s">
        <v>35</v>
      </c>
      <c r="Q65" s="13" t="s">
        <v>32</v>
      </c>
      <c r="R65" s="9" t="s">
        <v>33</v>
      </c>
      <c r="S65" s="9"/>
      <c r="T65" s="9" t="s">
        <v>34</v>
      </c>
      <c r="U65" s="9" t="s">
        <v>35</v>
      </c>
      <c r="V65" s="13" t="s">
        <v>32</v>
      </c>
      <c r="W65" s="9" t="s">
        <v>33</v>
      </c>
      <c r="X65" s="9"/>
      <c r="Y65" s="9" t="s">
        <v>34</v>
      </c>
      <c r="Z65" s="9" t="s">
        <v>35</v>
      </c>
      <c r="AA65" s="13" t="s">
        <v>32</v>
      </c>
      <c r="AB65" s="9" t="s">
        <v>33</v>
      </c>
      <c r="AC65" s="9"/>
      <c r="AD65" s="9" t="s">
        <v>34</v>
      </c>
      <c r="AE65" s="9" t="s">
        <v>35</v>
      </c>
      <c r="AF65" s="13" t="s">
        <v>32</v>
      </c>
      <c r="AG65" s="9" t="s">
        <v>33</v>
      </c>
      <c r="AH65" s="9"/>
      <c r="AI65" s="9" t="s">
        <v>34</v>
      </c>
      <c r="AJ65" s="9" t="s">
        <v>35</v>
      </c>
      <c r="AK65" s="13" t="s">
        <v>32</v>
      </c>
      <c r="AL65" s="9" t="s">
        <v>33</v>
      </c>
      <c r="AM65" s="9"/>
      <c r="AN65" s="9" t="s">
        <v>34</v>
      </c>
      <c r="AO65" s="9" t="s">
        <v>35</v>
      </c>
      <c r="AP65" s="13" t="s">
        <v>32</v>
      </c>
      <c r="AQ65" s="9" t="s">
        <v>33</v>
      </c>
      <c r="AR65" s="9"/>
      <c r="AS65" s="9" t="s">
        <v>34</v>
      </c>
      <c r="AT65" s="9" t="s">
        <v>35</v>
      </c>
      <c r="AU65" s="13" t="s">
        <v>32</v>
      </c>
      <c r="AV65" s="9" t="s">
        <v>33</v>
      </c>
      <c r="AW65" s="9"/>
      <c r="AX65" s="9" t="s">
        <v>34</v>
      </c>
      <c r="AY65" s="9" t="s">
        <v>35</v>
      </c>
      <c r="AZ65" s="13" t="s">
        <v>32</v>
      </c>
      <c r="BA65" s="9" t="s">
        <v>33</v>
      </c>
      <c r="BB65" s="9"/>
      <c r="BC65" s="9" t="s">
        <v>34</v>
      </c>
      <c r="BD65" s="9" t="s">
        <v>35</v>
      </c>
      <c r="BE65" s="13" t="s">
        <v>32</v>
      </c>
      <c r="BF65" s="9" t="s">
        <v>33</v>
      </c>
      <c r="BG65" s="9"/>
      <c r="BH65" s="9" t="s">
        <v>34</v>
      </c>
      <c r="BI65" s="9" t="s">
        <v>35</v>
      </c>
      <c r="BJ65" s="13" t="s">
        <v>32</v>
      </c>
      <c r="BK65" s="9" t="s">
        <v>33</v>
      </c>
      <c r="BL65" s="9"/>
      <c r="BM65" s="9" t="s">
        <v>34</v>
      </c>
      <c r="BN65" s="9" t="s">
        <v>35</v>
      </c>
      <c r="BO65" s="13" t="s">
        <v>32</v>
      </c>
      <c r="BP65" s="9" t="s">
        <v>33</v>
      </c>
      <c r="BQ65" s="9"/>
      <c r="BR65" s="9" t="s">
        <v>34</v>
      </c>
      <c r="BS65" s="9" t="s">
        <v>35</v>
      </c>
      <c r="BT65" s="13" t="s">
        <v>32</v>
      </c>
      <c r="BU65" s="9" t="s">
        <v>33</v>
      </c>
      <c r="BV65" s="9"/>
      <c r="BW65" s="9" t="s">
        <v>34</v>
      </c>
      <c r="BX65" s="12" t="s">
        <v>35</v>
      </c>
    </row>
    <row r="66" spans="1:76" ht="15" thickBot="1" x14ac:dyDescent="0.4">
      <c r="A66" s="13" t="s">
        <v>80</v>
      </c>
      <c r="B66" s="13" t="s">
        <v>46</v>
      </c>
      <c r="C66" s="13" t="s">
        <v>81</v>
      </c>
      <c r="D66" s="13">
        <v>4.1190000000000003E-3</v>
      </c>
      <c r="E66" s="21">
        <v>45000</v>
      </c>
      <c r="F66" s="13">
        <v>1.9228703703703705</v>
      </c>
      <c r="G66" s="13"/>
      <c r="H66" s="22">
        <v>487.58</v>
      </c>
      <c r="I66" s="9" t="s">
        <v>26</v>
      </c>
      <c r="J66" s="22">
        <v>29.760999999999999</v>
      </c>
      <c r="K66" s="22">
        <v>19.453399999999998</v>
      </c>
      <c r="L66" s="13"/>
      <c r="M66" s="9"/>
      <c r="N66" s="9" t="s">
        <v>26</v>
      </c>
      <c r="O66" s="9"/>
      <c r="P66" s="22">
        <v>16.147099999999998</v>
      </c>
      <c r="Q66" s="13"/>
      <c r="R66" s="9"/>
      <c r="S66" s="9" t="s">
        <v>26</v>
      </c>
      <c r="T66" s="9"/>
      <c r="U66" s="22">
        <v>3.25319</v>
      </c>
      <c r="V66" s="13"/>
      <c r="W66" s="22">
        <v>123.01</v>
      </c>
      <c r="X66" s="9" t="s">
        <v>26</v>
      </c>
      <c r="Y66" s="22">
        <v>5.1330999999999998</v>
      </c>
      <c r="Z66" s="22">
        <v>9.2828499999999998</v>
      </c>
      <c r="AA66" s="13"/>
      <c r="AB66" s="22">
        <v>3.9379</v>
      </c>
      <c r="AC66" s="9" t="s">
        <v>26</v>
      </c>
      <c r="AD66" s="22">
        <v>2.6741000000000001</v>
      </c>
      <c r="AE66" s="22">
        <v>2.83819</v>
      </c>
      <c r="AF66" s="13"/>
      <c r="AG66" s="22">
        <v>112.79</v>
      </c>
      <c r="AH66" s="9" t="s">
        <v>26</v>
      </c>
      <c r="AI66" s="22">
        <v>1.7757000000000001</v>
      </c>
      <c r="AJ66" s="22">
        <v>1.57101</v>
      </c>
      <c r="AK66" s="13"/>
      <c r="AL66" s="22">
        <v>109.08</v>
      </c>
      <c r="AM66" s="9" t="s">
        <v>26</v>
      </c>
      <c r="AN66" s="22">
        <v>5.7816000000000001</v>
      </c>
      <c r="AO66" s="22">
        <v>24.546399999999998</v>
      </c>
      <c r="AP66" s="13"/>
      <c r="AQ66" s="22">
        <v>55.301000000000002</v>
      </c>
      <c r="AR66" s="9" t="s">
        <v>26</v>
      </c>
      <c r="AS66" s="22">
        <v>5.3948</v>
      </c>
      <c r="AT66" s="22">
        <v>7.5376799999999999</v>
      </c>
      <c r="AU66" s="13"/>
      <c r="AV66" s="9"/>
      <c r="AW66" s="9" t="s">
        <v>26</v>
      </c>
      <c r="AX66" s="9"/>
      <c r="AY66" s="9"/>
      <c r="AZ66" s="13"/>
      <c r="BA66" s="9"/>
      <c r="BB66" s="9" t="s">
        <v>26</v>
      </c>
      <c r="BC66" s="9"/>
      <c r="BD66" s="9"/>
      <c r="BE66" s="13"/>
      <c r="BF66" s="22">
        <v>54.353000000000002</v>
      </c>
      <c r="BG66" s="9" t="s">
        <v>26</v>
      </c>
      <c r="BH66" s="22">
        <v>2.82</v>
      </c>
      <c r="BI66" s="22">
        <v>3.84023</v>
      </c>
      <c r="BJ66" s="13"/>
      <c r="BK66" s="22">
        <v>51.521999999999998</v>
      </c>
      <c r="BL66" s="9" t="s">
        <v>26</v>
      </c>
      <c r="BM66" s="22">
        <v>2.7745000000000002</v>
      </c>
      <c r="BN66" s="22">
        <v>9.9977300000000007</v>
      </c>
      <c r="BO66" s="13"/>
      <c r="BP66" s="22">
        <v>111.41</v>
      </c>
      <c r="BQ66" s="9" t="s">
        <v>26</v>
      </c>
      <c r="BR66" s="22">
        <v>6.0617000000000001</v>
      </c>
      <c r="BS66" s="22">
        <v>23.5322</v>
      </c>
      <c r="BT66" s="13"/>
      <c r="BU66" s="22">
        <v>83.597999999999999</v>
      </c>
      <c r="BV66" s="9" t="s">
        <v>26</v>
      </c>
      <c r="BW66" s="22">
        <v>2.6092</v>
      </c>
      <c r="BX66" s="23">
        <v>10.6584</v>
      </c>
    </row>
    <row r="67" spans="1:76" ht="15" thickBot="1" x14ac:dyDescent="0.4">
      <c r="A67" s="13" t="s">
        <v>80</v>
      </c>
      <c r="B67" s="13" t="s">
        <v>46</v>
      </c>
      <c r="C67" s="13" t="s">
        <v>83</v>
      </c>
      <c r="D67" s="13">
        <v>4.1190000000000003E-3</v>
      </c>
      <c r="E67" s="21">
        <v>45000</v>
      </c>
      <c r="F67" s="13">
        <v>4.8820833333333331</v>
      </c>
      <c r="G67" s="13"/>
      <c r="H67" s="22">
        <v>468.91469999999998</v>
      </c>
      <c r="I67" s="9" t="s">
        <v>26</v>
      </c>
      <c r="J67" s="22">
        <v>23.929590000000001</v>
      </c>
      <c r="K67" s="22">
        <v>11.7493</v>
      </c>
      <c r="L67" s="13"/>
      <c r="M67" s="22">
        <v>53.961460000000002</v>
      </c>
      <c r="N67" s="9" t="s">
        <v>26</v>
      </c>
      <c r="O67" s="22">
        <v>8.2588840000000001</v>
      </c>
      <c r="P67" s="22">
        <v>11.589499999999999</v>
      </c>
      <c r="Q67" s="13"/>
      <c r="R67" s="9"/>
      <c r="S67" s="9" t="s">
        <v>26</v>
      </c>
      <c r="T67" s="9"/>
      <c r="U67" s="22">
        <v>1.2843500000000001</v>
      </c>
      <c r="V67" s="13"/>
      <c r="W67" s="22">
        <v>97.245019999999997</v>
      </c>
      <c r="X67" s="9" t="s">
        <v>26</v>
      </c>
      <c r="Y67" s="22">
        <v>7.0425399999999998</v>
      </c>
      <c r="Z67" s="22">
        <v>4.9912799999999997</v>
      </c>
      <c r="AA67" s="13"/>
      <c r="AB67" s="9"/>
      <c r="AC67" s="9" t="s">
        <v>26</v>
      </c>
      <c r="AD67" s="9"/>
      <c r="AE67" s="22">
        <v>3.4180100000000002</v>
      </c>
      <c r="AF67" s="13"/>
      <c r="AG67" s="22">
        <v>109.08839999999999</v>
      </c>
      <c r="AH67" s="9" t="s">
        <v>26</v>
      </c>
      <c r="AI67" s="22">
        <v>8.8403360000000006</v>
      </c>
      <c r="AJ67" s="22">
        <v>1.03274</v>
      </c>
      <c r="AK67" s="13"/>
      <c r="AL67" s="22">
        <v>106.53440000000001</v>
      </c>
      <c r="AM67" s="9" t="s">
        <v>26</v>
      </c>
      <c r="AN67" s="22">
        <v>7.2170620000000003</v>
      </c>
      <c r="AO67" s="22">
        <v>15.528600000000001</v>
      </c>
      <c r="AP67" s="13"/>
      <c r="AQ67" s="22">
        <v>46.051049999999996</v>
      </c>
      <c r="AR67" s="9" t="s">
        <v>26</v>
      </c>
      <c r="AS67" s="22">
        <v>3.9645290000000002</v>
      </c>
      <c r="AT67" s="22">
        <v>4.3604799999999999</v>
      </c>
      <c r="AU67" s="13"/>
      <c r="AV67" s="9"/>
      <c r="AW67" s="9" t="s">
        <v>26</v>
      </c>
      <c r="AX67" s="9"/>
      <c r="AY67" s="9"/>
      <c r="AZ67" s="13"/>
      <c r="BA67" s="9"/>
      <c r="BB67" s="9" t="s">
        <v>26</v>
      </c>
      <c r="BC67" s="9"/>
      <c r="BD67" s="9"/>
      <c r="BE67" s="13"/>
      <c r="BF67" s="22">
        <v>47.64555</v>
      </c>
      <c r="BG67" s="9" t="s">
        <v>26</v>
      </c>
      <c r="BH67" s="22">
        <v>3.7064750000000002</v>
      </c>
      <c r="BI67" s="22">
        <v>2.4328400000000001</v>
      </c>
      <c r="BJ67" s="13"/>
      <c r="BK67" s="22">
        <v>43.813040000000001</v>
      </c>
      <c r="BL67" s="9" t="s">
        <v>26</v>
      </c>
      <c r="BM67" s="22">
        <v>3.8647960000000001</v>
      </c>
      <c r="BN67" s="22">
        <v>5.92075</v>
      </c>
      <c r="BO67" s="13"/>
      <c r="BP67" s="22">
        <v>41.07817</v>
      </c>
      <c r="BQ67" s="9" t="s">
        <v>26</v>
      </c>
      <c r="BR67" s="22">
        <v>7.0875630000000003</v>
      </c>
      <c r="BS67" s="22">
        <v>17.600100000000001</v>
      </c>
      <c r="BT67" s="13"/>
      <c r="BU67" s="22">
        <v>82.865830000000003</v>
      </c>
      <c r="BV67" s="9" t="s">
        <v>26</v>
      </c>
      <c r="BW67" s="22">
        <v>8.6944700000000008</v>
      </c>
      <c r="BX67" s="23">
        <v>7.2518900000000004</v>
      </c>
    </row>
    <row r="68" spans="1:76" ht="15" thickBot="1" x14ac:dyDescent="0.4">
      <c r="A68" s="13" t="s">
        <v>80</v>
      </c>
      <c r="B68" s="13" t="s">
        <v>46</v>
      </c>
      <c r="C68" s="13" t="s">
        <v>85</v>
      </c>
      <c r="D68" s="13">
        <v>4.1190000000000003E-3</v>
      </c>
      <c r="E68" s="21">
        <v>45000</v>
      </c>
      <c r="F68" s="13">
        <v>4.8820833333333331</v>
      </c>
      <c r="G68" s="13"/>
      <c r="H68" s="22">
        <v>468.72629999999998</v>
      </c>
      <c r="I68" s="9" t="s">
        <v>26</v>
      </c>
      <c r="J68" s="22">
        <v>23.919969999999999</v>
      </c>
      <c r="K68" s="22">
        <v>11.7445</v>
      </c>
      <c r="L68" s="13"/>
      <c r="M68" s="22">
        <v>52.317839999999997</v>
      </c>
      <c r="N68" s="9" t="s">
        <v>26</v>
      </c>
      <c r="O68" s="22">
        <v>8.0073270000000001</v>
      </c>
      <c r="P68" s="22">
        <v>11.236499999999999</v>
      </c>
      <c r="Q68" s="13"/>
      <c r="R68" s="9"/>
      <c r="S68" s="9" t="s">
        <v>26</v>
      </c>
      <c r="T68" s="9"/>
      <c r="U68" s="22">
        <v>1.28359</v>
      </c>
      <c r="V68" s="13"/>
      <c r="W68" s="22">
        <v>97.195790000000002</v>
      </c>
      <c r="X68" s="9" t="s">
        <v>26</v>
      </c>
      <c r="Y68" s="22">
        <v>7.0389739999999996</v>
      </c>
      <c r="Z68" s="22">
        <v>4.9887499999999996</v>
      </c>
      <c r="AA68" s="13"/>
      <c r="AB68" s="9"/>
      <c r="AC68" s="9" t="s">
        <v>26</v>
      </c>
      <c r="AD68" s="9"/>
      <c r="AE68" s="22">
        <v>3.4161600000000001</v>
      </c>
      <c r="AF68" s="13"/>
      <c r="AG68" s="22">
        <v>108.9712</v>
      </c>
      <c r="AH68" s="9" t="s">
        <v>26</v>
      </c>
      <c r="AI68" s="22">
        <v>8.8308350000000004</v>
      </c>
      <c r="AJ68" s="22">
        <v>1.03163</v>
      </c>
      <c r="AK68" s="13"/>
      <c r="AL68" s="22">
        <v>106.4742</v>
      </c>
      <c r="AM68" s="9" t="s">
        <v>26</v>
      </c>
      <c r="AN68" s="22">
        <v>7.2129839999999996</v>
      </c>
      <c r="AO68" s="22">
        <v>15.5198</v>
      </c>
      <c r="AP68" s="13"/>
      <c r="AQ68" s="22">
        <v>46.022970000000001</v>
      </c>
      <c r="AR68" s="9" t="s">
        <v>26</v>
      </c>
      <c r="AS68" s="22">
        <v>3.9621119999999999</v>
      </c>
      <c r="AT68" s="22">
        <v>4.3578200000000002</v>
      </c>
      <c r="AU68" s="13"/>
      <c r="AV68" s="9"/>
      <c r="AW68" s="9" t="s">
        <v>26</v>
      </c>
      <c r="AX68" s="9"/>
      <c r="AY68" s="9"/>
      <c r="AZ68" s="13"/>
      <c r="BA68" s="9"/>
      <c r="BB68" s="9" t="s">
        <v>26</v>
      </c>
      <c r="BC68" s="9"/>
      <c r="BD68" s="9"/>
      <c r="BE68" s="13"/>
      <c r="BF68" s="22">
        <v>47.606940000000002</v>
      </c>
      <c r="BG68" s="9" t="s">
        <v>26</v>
      </c>
      <c r="BH68" s="22">
        <v>3.703471</v>
      </c>
      <c r="BI68" s="22">
        <v>2.4308700000000001</v>
      </c>
      <c r="BJ68" s="13"/>
      <c r="BK68" s="22">
        <v>43.766530000000003</v>
      </c>
      <c r="BL68" s="9" t="s">
        <v>26</v>
      </c>
      <c r="BM68" s="22">
        <v>3.8606929999999999</v>
      </c>
      <c r="BN68" s="22">
        <v>5.9144600000000001</v>
      </c>
      <c r="BO68" s="13"/>
      <c r="BP68" s="22">
        <v>41.019120000000001</v>
      </c>
      <c r="BQ68" s="9" t="s">
        <v>26</v>
      </c>
      <c r="BR68" s="22">
        <v>7.0773739999999998</v>
      </c>
      <c r="BS68" s="22">
        <v>17.5748</v>
      </c>
      <c r="BT68" s="13"/>
      <c r="BU68" s="22">
        <v>81.735969999999995</v>
      </c>
      <c r="BV68" s="9" t="s">
        <v>26</v>
      </c>
      <c r="BW68" s="22">
        <v>8.5759220000000003</v>
      </c>
      <c r="BX68" s="23">
        <v>7.1530100000000001</v>
      </c>
    </row>
    <row r="69" spans="1:76" ht="15" thickBot="1" x14ac:dyDescent="0.4">
      <c r="A69" s="13" t="s">
        <v>80</v>
      </c>
      <c r="B69" s="13" t="s">
        <v>46</v>
      </c>
      <c r="C69" s="13" t="s">
        <v>86</v>
      </c>
      <c r="D69" s="13">
        <v>4.1190000000000003E-3</v>
      </c>
      <c r="E69" s="21">
        <v>45000</v>
      </c>
      <c r="F69" s="13">
        <v>4.8820833333333331</v>
      </c>
      <c r="G69" s="13"/>
      <c r="H69" s="22">
        <v>470.67950000000002</v>
      </c>
      <c r="I69" s="9" t="s">
        <v>26</v>
      </c>
      <c r="J69" s="22">
        <v>24.019649999999999</v>
      </c>
      <c r="K69" s="22">
        <v>11.7935</v>
      </c>
      <c r="L69" s="13"/>
      <c r="M69" s="22">
        <v>46.9178</v>
      </c>
      <c r="N69" s="9" t="s">
        <v>26</v>
      </c>
      <c r="O69" s="22">
        <v>7.1808420000000002</v>
      </c>
      <c r="P69" s="22">
        <v>10.076700000000001</v>
      </c>
      <c r="Q69" s="13"/>
      <c r="R69" s="9"/>
      <c r="S69" s="9" t="s">
        <v>26</v>
      </c>
      <c r="T69" s="9"/>
      <c r="U69" s="22">
        <v>1.2914099999999999</v>
      </c>
      <c r="V69" s="13"/>
      <c r="W69" s="22">
        <v>97.710120000000003</v>
      </c>
      <c r="X69" s="9" t="s">
        <v>26</v>
      </c>
      <c r="Y69" s="22">
        <v>7.0762219999999996</v>
      </c>
      <c r="Z69" s="22">
        <v>5.0151500000000002</v>
      </c>
      <c r="AA69" s="13"/>
      <c r="AB69" s="9"/>
      <c r="AC69" s="9" t="s">
        <v>26</v>
      </c>
      <c r="AD69" s="9"/>
      <c r="AE69" s="22">
        <v>3.4353899999999999</v>
      </c>
      <c r="AF69" s="13"/>
      <c r="AG69" s="22">
        <v>109.884</v>
      </c>
      <c r="AH69" s="9" t="s">
        <v>26</v>
      </c>
      <c r="AI69" s="22">
        <v>8.9048060000000007</v>
      </c>
      <c r="AJ69" s="22">
        <v>1.0402800000000001</v>
      </c>
      <c r="AK69" s="13"/>
      <c r="AL69" s="22">
        <v>107.0973</v>
      </c>
      <c r="AM69" s="9" t="s">
        <v>26</v>
      </c>
      <c r="AN69" s="22">
        <v>7.2551969999999999</v>
      </c>
      <c r="AO69" s="22">
        <v>15.6106</v>
      </c>
      <c r="AP69" s="13"/>
      <c r="AQ69" s="22">
        <v>46.313189999999999</v>
      </c>
      <c r="AR69" s="9" t="s">
        <v>26</v>
      </c>
      <c r="AS69" s="22">
        <v>3.9870960000000002</v>
      </c>
      <c r="AT69" s="22">
        <v>4.3853</v>
      </c>
      <c r="AU69" s="13"/>
      <c r="AV69" s="9"/>
      <c r="AW69" s="9" t="s">
        <v>26</v>
      </c>
      <c r="AX69" s="9"/>
      <c r="AY69" s="9"/>
      <c r="AZ69" s="13"/>
      <c r="BA69" s="9"/>
      <c r="BB69" s="9" t="s">
        <v>26</v>
      </c>
      <c r="BC69" s="9"/>
      <c r="BD69" s="9"/>
      <c r="BE69" s="13"/>
      <c r="BF69" s="22">
        <v>47.973320000000001</v>
      </c>
      <c r="BG69" s="9" t="s">
        <v>26</v>
      </c>
      <c r="BH69" s="22">
        <v>3.731973</v>
      </c>
      <c r="BI69" s="22">
        <v>2.4495800000000001</v>
      </c>
      <c r="BJ69" s="13"/>
      <c r="BK69" s="22">
        <v>44.132570000000001</v>
      </c>
      <c r="BL69" s="9" t="s">
        <v>26</v>
      </c>
      <c r="BM69" s="22">
        <v>3.8929819999999999</v>
      </c>
      <c r="BN69" s="22">
        <v>5.9639300000000004</v>
      </c>
      <c r="BO69" s="13"/>
      <c r="BP69" s="22">
        <v>41.35277</v>
      </c>
      <c r="BQ69" s="9" t="s">
        <v>26</v>
      </c>
      <c r="BR69" s="22">
        <v>7.1349419999999997</v>
      </c>
      <c r="BS69" s="22">
        <v>17.717700000000001</v>
      </c>
      <c r="BT69" s="13"/>
      <c r="BU69" s="22">
        <v>78.931380000000004</v>
      </c>
      <c r="BV69" s="9" t="s">
        <v>26</v>
      </c>
      <c r="BW69" s="22">
        <v>8.2816580000000002</v>
      </c>
      <c r="BX69" s="23">
        <v>6.9075699999999998</v>
      </c>
    </row>
    <row r="70" spans="1:76" ht="15" thickBot="1" x14ac:dyDescent="0.4">
      <c r="A70" s="13" t="s">
        <v>80</v>
      </c>
      <c r="B70" s="13" t="s">
        <v>46</v>
      </c>
      <c r="C70" s="13" t="s">
        <v>87</v>
      </c>
      <c r="D70" s="13">
        <v>4.1190000000000003E-3</v>
      </c>
      <c r="E70" s="21">
        <v>45000</v>
      </c>
      <c r="F70" s="13">
        <v>4.8820833333333331</v>
      </c>
      <c r="G70" s="13"/>
      <c r="H70" s="22">
        <v>468.34320000000002</v>
      </c>
      <c r="I70" s="9" t="s">
        <v>26</v>
      </c>
      <c r="J70" s="22">
        <v>23.90042</v>
      </c>
      <c r="K70" s="22">
        <v>11.7349</v>
      </c>
      <c r="L70" s="13"/>
      <c r="M70" s="22">
        <v>61.873600000000003</v>
      </c>
      <c r="N70" s="9" t="s">
        <v>26</v>
      </c>
      <c r="O70" s="22">
        <v>9.4698519999999995</v>
      </c>
      <c r="P70" s="22">
        <v>13.2889</v>
      </c>
      <c r="Q70" s="13"/>
      <c r="R70" s="9"/>
      <c r="S70" s="9" t="s">
        <v>26</v>
      </c>
      <c r="T70" s="9"/>
      <c r="U70" s="22">
        <v>1.2820800000000001</v>
      </c>
      <c r="V70" s="13"/>
      <c r="W70" s="22">
        <v>97.094160000000002</v>
      </c>
      <c r="X70" s="9" t="s">
        <v>26</v>
      </c>
      <c r="Y70" s="22">
        <v>7.0316140000000003</v>
      </c>
      <c r="Z70" s="22">
        <v>4.98353</v>
      </c>
      <c r="AA70" s="13"/>
      <c r="AB70" s="9"/>
      <c r="AC70" s="9" t="s">
        <v>26</v>
      </c>
      <c r="AD70" s="9"/>
      <c r="AE70" s="22">
        <v>3.4123899999999998</v>
      </c>
      <c r="AF70" s="13"/>
      <c r="AG70" s="22">
        <v>108.9032</v>
      </c>
      <c r="AH70" s="9" t="s">
        <v>26</v>
      </c>
      <c r="AI70" s="22">
        <v>8.8253299999999992</v>
      </c>
      <c r="AJ70" s="22">
        <v>1.0309900000000001</v>
      </c>
      <c r="AK70" s="13"/>
      <c r="AL70" s="22">
        <v>106.3527</v>
      </c>
      <c r="AM70" s="9" t="s">
        <v>26</v>
      </c>
      <c r="AN70" s="22">
        <v>7.2047549999999996</v>
      </c>
      <c r="AO70" s="22">
        <v>15.5021</v>
      </c>
      <c r="AP70" s="13"/>
      <c r="AQ70" s="22">
        <v>45.967260000000003</v>
      </c>
      <c r="AR70" s="9" t="s">
        <v>26</v>
      </c>
      <c r="AS70" s="22">
        <v>3.9573149999999999</v>
      </c>
      <c r="AT70" s="22">
        <v>4.3525400000000003</v>
      </c>
      <c r="AU70" s="13"/>
      <c r="AV70" s="9"/>
      <c r="AW70" s="9" t="s">
        <v>26</v>
      </c>
      <c r="AX70" s="9"/>
      <c r="AY70" s="9"/>
      <c r="AZ70" s="13"/>
      <c r="BA70" s="9"/>
      <c r="BB70" s="9" t="s">
        <v>26</v>
      </c>
      <c r="BC70" s="9"/>
      <c r="BD70" s="9"/>
      <c r="BE70" s="13"/>
      <c r="BF70" s="22">
        <v>47.548369999999998</v>
      </c>
      <c r="BG70" s="9" t="s">
        <v>26</v>
      </c>
      <c r="BH70" s="22">
        <v>3.6989160000000001</v>
      </c>
      <c r="BI70" s="22">
        <v>2.42788</v>
      </c>
      <c r="BJ70" s="13"/>
      <c r="BK70" s="22">
        <v>43.737299999999998</v>
      </c>
      <c r="BL70" s="9" t="s">
        <v>26</v>
      </c>
      <c r="BM70" s="22">
        <v>3.8581150000000002</v>
      </c>
      <c r="BN70" s="22">
        <v>5.91052</v>
      </c>
      <c r="BO70" s="13"/>
      <c r="BP70" s="22">
        <v>41.054900000000004</v>
      </c>
      <c r="BQ70" s="9" t="s">
        <v>26</v>
      </c>
      <c r="BR70" s="22">
        <v>7.0835489999999997</v>
      </c>
      <c r="BS70" s="22">
        <v>17.5901</v>
      </c>
      <c r="BT70" s="13"/>
      <c r="BU70" s="22">
        <v>87.634889999999999</v>
      </c>
      <c r="BV70" s="9" t="s">
        <v>26</v>
      </c>
      <c r="BW70" s="22">
        <v>9.1948489999999996</v>
      </c>
      <c r="BX70" s="23">
        <v>7.6692499999999999</v>
      </c>
    </row>
    <row r="71" spans="1:76" ht="15" thickBot="1" x14ac:dyDescent="0.4">
      <c r="A71" s="13" t="s">
        <v>80</v>
      </c>
      <c r="B71" s="13" t="s">
        <v>46</v>
      </c>
      <c r="C71" s="13" t="s">
        <v>88</v>
      </c>
      <c r="D71" s="13">
        <v>4.1190000000000003E-3</v>
      </c>
      <c r="E71" s="21">
        <v>45000</v>
      </c>
      <c r="F71" s="13">
        <v>4.8820833333333331</v>
      </c>
      <c r="G71" s="13"/>
      <c r="H71" s="22">
        <v>468.53440000000001</v>
      </c>
      <c r="I71" s="9" t="s">
        <v>26</v>
      </c>
      <c r="J71" s="22">
        <v>23.91018</v>
      </c>
      <c r="K71" s="22">
        <v>11.739699999999999</v>
      </c>
      <c r="L71" s="13"/>
      <c r="M71" s="22">
        <v>55.098410000000001</v>
      </c>
      <c r="N71" s="9" t="s">
        <v>26</v>
      </c>
      <c r="O71" s="22">
        <v>8.4328959999999995</v>
      </c>
      <c r="P71" s="22">
        <v>11.8337</v>
      </c>
      <c r="Q71" s="13"/>
      <c r="R71" s="9"/>
      <c r="S71" s="9" t="s">
        <v>26</v>
      </c>
      <c r="T71" s="9"/>
      <c r="U71" s="22">
        <v>1.2828299999999999</v>
      </c>
      <c r="V71" s="13"/>
      <c r="W71" s="22">
        <v>97.144800000000004</v>
      </c>
      <c r="X71" s="9" t="s">
        <v>26</v>
      </c>
      <c r="Y71" s="22">
        <v>7.0352810000000003</v>
      </c>
      <c r="Z71" s="22">
        <v>4.9861300000000002</v>
      </c>
      <c r="AA71" s="13"/>
      <c r="AB71" s="9"/>
      <c r="AC71" s="9" t="s">
        <v>26</v>
      </c>
      <c r="AD71" s="9"/>
      <c r="AE71" s="22">
        <v>3.4142600000000001</v>
      </c>
      <c r="AF71" s="13"/>
      <c r="AG71" s="22">
        <v>108.9093</v>
      </c>
      <c r="AH71" s="9" t="s">
        <v>26</v>
      </c>
      <c r="AI71" s="22">
        <v>8.8258229999999998</v>
      </c>
      <c r="AJ71" s="22">
        <v>1.03105</v>
      </c>
      <c r="AK71" s="13"/>
      <c r="AL71" s="22">
        <v>106.413</v>
      </c>
      <c r="AM71" s="9" t="s">
        <v>26</v>
      </c>
      <c r="AN71" s="22">
        <v>7.2088400000000004</v>
      </c>
      <c r="AO71" s="22">
        <v>15.510899999999999</v>
      </c>
      <c r="AP71" s="13"/>
      <c r="AQ71" s="22">
        <v>45.994610000000002</v>
      </c>
      <c r="AR71" s="9" t="s">
        <v>26</v>
      </c>
      <c r="AS71" s="22">
        <v>3.95967</v>
      </c>
      <c r="AT71" s="22">
        <v>4.3551299999999999</v>
      </c>
      <c r="AU71" s="13"/>
      <c r="AV71" s="9"/>
      <c r="AW71" s="9" t="s">
        <v>26</v>
      </c>
      <c r="AX71" s="9"/>
      <c r="AY71" s="9"/>
      <c r="AZ71" s="13"/>
      <c r="BA71" s="9"/>
      <c r="BB71" s="9" t="s">
        <v>26</v>
      </c>
      <c r="BC71" s="9"/>
      <c r="BD71" s="9"/>
      <c r="BE71" s="13"/>
      <c r="BF71" s="22">
        <v>47.573979999999999</v>
      </c>
      <c r="BG71" s="9" t="s">
        <v>26</v>
      </c>
      <c r="BH71" s="22">
        <v>3.7009069999999999</v>
      </c>
      <c r="BI71" s="22">
        <v>2.4291900000000002</v>
      </c>
      <c r="BJ71" s="13"/>
      <c r="BK71" s="22">
        <v>43.741190000000003</v>
      </c>
      <c r="BL71" s="9" t="s">
        <v>26</v>
      </c>
      <c r="BM71" s="22">
        <v>3.8584580000000002</v>
      </c>
      <c r="BN71" s="22">
        <v>5.9110399999999998</v>
      </c>
      <c r="BO71" s="13"/>
      <c r="BP71" s="22">
        <v>41.0122</v>
      </c>
      <c r="BQ71" s="9" t="s">
        <v>26</v>
      </c>
      <c r="BR71" s="22">
        <v>7.0761810000000001</v>
      </c>
      <c r="BS71" s="22">
        <v>17.5718</v>
      </c>
      <c r="BT71" s="13"/>
      <c r="BU71" s="22">
        <v>83.428259999999995</v>
      </c>
      <c r="BV71" s="9" t="s">
        <v>26</v>
      </c>
      <c r="BW71" s="22">
        <v>8.7534810000000007</v>
      </c>
      <c r="BX71" s="23">
        <v>7.3011100000000004</v>
      </c>
    </row>
    <row r="72" spans="1:76" ht="15" thickBot="1" x14ac:dyDescent="0.4">
      <c r="A72" s="13" t="s">
        <v>80</v>
      </c>
      <c r="B72" s="13" t="s">
        <v>46</v>
      </c>
      <c r="C72" s="13" t="s">
        <v>89</v>
      </c>
      <c r="D72" s="13">
        <v>4.1190000000000003E-3</v>
      </c>
      <c r="E72" s="21">
        <v>45000</v>
      </c>
      <c r="F72" s="13">
        <v>4.8820833333333331</v>
      </c>
      <c r="G72" s="13"/>
      <c r="H72" s="22">
        <v>468.91469999999998</v>
      </c>
      <c r="I72" s="9" t="s">
        <v>26</v>
      </c>
      <c r="J72" s="22">
        <v>23.929590000000001</v>
      </c>
      <c r="K72" s="22">
        <v>11.7493</v>
      </c>
      <c r="L72" s="13"/>
      <c r="M72" s="22">
        <v>53.961460000000002</v>
      </c>
      <c r="N72" s="9" t="s">
        <v>26</v>
      </c>
      <c r="O72" s="22">
        <v>8.2588840000000001</v>
      </c>
      <c r="P72" s="22">
        <v>11.589499999999999</v>
      </c>
      <c r="Q72" s="13"/>
      <c r="R72" s="9"/>
      <c r="S72" s="9" t="s">
        <v>26</v>
      </c>
      <c r="T72" s="9"/>
      <c r="U72" s="22">
        <v>1.2843500000000001</v>
      </c>
      <c r="V72" s="13"/>
      <c r="W72" s="22">
        <v>97.245019999999997</v>
      </c>
      <c r="X72" s="9" t="s">
        <v>26</v>
      </c>
      <c r="Y72" s="22">
        <v>7.0425399999999998</v>
      </c>
      <c r="Z72" s="22">
        <v>4.9912799999999997</v>
      </c>
      <c r="AA72" s="13"/>
      <c r="AB72" s="9"/>
      <c r="AC72" s="9" t="s">
        <v>26</v>
      </c>
      <c r="AD72" s="9"/>
      <c r="AE72" s="22">
        <v>3.4180100000000002</v>
      </c>
      <c r="AF72" s="13"/>
      <c r="AG72" s="22">
        <v>109.08839999999999</v>
      </c>
      <c r="AH72" s="9" t="s">
        <v>26</v>
      </c>
      <c r="AI72" s="22">
        <v>8.8403360000000006</v>
      </c>
      <c r="AJ72" s="22">
        <v>1.03274</v>
      </c>
      <c r="AK72" s="13"/>
      <c r="AL72" s="22">
        <v>106.53440000000001</v>
      </c>
      <c r="AM72" s="9" t="s">
        <v>26</v>
      </c>
      <c r="AN72" s="22">
        <v>7.2170620000000003</v>
      </c>
      <c r="AO72" s="22">
        <v>15.528600000000001</v>
      </c>
      <c r="AP72" s="13"/>
      <c r="AQ72" s="22">
        <v>46.051049999999996</v>
      </c>
      <c r="AR72" s="9" t="s">
        <v>26</v>
      </c>
      <c r="AS72" s="22">
        <v>3.9645290000000002</v>
      </c>
      <c r="AT72" s="22">
        <v>4.3604799999999999</v>
      </c>
      <c r="AU72" s="13"/>
      <c r="AV72" s="9"/>
      <c r="AW72" s="9" t="s">
        <v>26</v>
      </c>
      <c r="AX72" s="9"/>
      <c r="AY72" s="9"/>
      <c r="AZ72" s="13"/>
      <c r="BA72" s="9"/>
      <c r="BB72" s="9" t="s">
        <v>26</v>
      </c>
      <c r="BC72" s="9"/>
      <c r="BD72" s="9"/>
      <c r="BE72" s="13"/>
      <c r="BF72" s="22">
        <v>47.64555</v>
      </c>
      <c r="BG72" s="9" t="s">
        <v>26</v>
      </c>
      <c r="BH72" s="22">
        <v>3.7064750000000002</v>
      </c>
      <c r="BI72" s="22">
        <v>2.4328400000000001</v>
      </c>
      <c r="BJ72" s="13"/>
      <c r="BK72" s="22">
        <v>43.813040000000001</v>
      </c>
      <c r="BL72" s="9" t="s">
        <v>26</v>
      </c>
      <c r="BM72" s="22">
        <v>3.8647960000000001</v>
      </c>
      <c r="BN72" s="22">
        <v>5.92075</v>
      </c>
      <c r="BO72" s="13"/>
      <c r="BP72" s="22">
        <v>41.07817</v>
      </c>
      <c r="BQ72" s="9" t="s">
        <v>26</v>
      </c>
      <c r="BR72" s="22">
        <v>7.0875630000000003</v>
      </c>
      <c r="BS72" s="22">
        <v>17.600100000000001</v>
      </c>
      <c r="BT72" s="13"/>
      <c r="BU72" s="22">
        <v>82.865830000000003</v>
      </c>
      <c r="BV72" s="9" t="s">
        <v>26</v>
      </c>
      <c r="BW72" s="22">
        <v>8.6944700000000008</v>
      </c>
      <c r="BX72" s="23">
        <v>7.2518900000000004</v>
      </c>
    </row>
    <row r="73" spans="1:76" ht="15" thickBot="1" x14ac:dyDescent="0.4">
      <c r="A73" s="13" t="s">
        <v>80</v>
      </c>
      <c r="B73" s="13" t="s">
        <v>46</v>
      </c>
      <c r="C73" s="13" t="s">
        <v>81</v>
      </c>
      <c r="D73" s="13">
        <v>4.1190000000000003E-3</v>
      </c>
      <c r="E73" s="21">
        <v>45000</v>
      </c>
      <c r="F73" s="13">
        <v>4.8820833333333331</v>
      </c>
      <c r="G73" s="11"/>
      <c r="H73" s="18">
        <v>494.99919999999997</v>
      </c>
      <c r="I73" s="10" t="s">
        <v>26</v>
      </c>
      <c r="J73" s="18">
        <v>22.015270000000001</v>
      </c>
      <c r="K73" s="18">
        <v>12.3818</v>
      </c>
      <c r="L73" s="11"/>
      <c r="M73" s="18">
        <v>54.925159999999998</v>
      </c>
      <c r="N73" s="10" t="s">
        <v>26</v>
      </c>
      <c r="O73" s="18">
        <v>1.8066169999999999</v>
      </c>
      <c r="P73" s="18">
        <v>11.0829</v>
      </c>
      <c r="Q73" s="11"/>
      <c r="R73" s="10"/>
      <c r="S73" s="10" t="s">
        <v>26</v>
      </c>
      <c r="T73" s="10"/>
      <c r="U73" s="18">
        <v>2.03409</v>
      </c>
      <c r="V73" s="11"/>
      <c r="W73" s="18">
        <v>133.5617</v>
      </c>
      <c r="X73" s="10" t="s">
        <v>26</v>
      </c>
      <c r="Y73" s="18">
        <v>7.2325670000000004</v>
      </c>
      <c r="Z73" s="18">
        <v>6.8122400000000001</v>
      </c>
      <c r="AA73" s="11"/>
      <c r="AB73" s="10"/>
      <c r="AC73" s="10" t="s">
        <v>26</v>
      </c>
      <c r="AD73" s="10"/>
      <c r="AE73" s="18">
        <v>7.5850600000000004</v>
      </c>
      <c r="AF73" s="11"/>
      <c r="AG73" s="18">
        <v>112.7732</v>
      </c>
      <c r="AH73" s="10" t="s">
        <v>26</v>
      </c>
      <c r="AI73" s="18">
        <v>1.5883350000000001</v>
      </c>
      <c r="AJ73" s="18">
        <v>1.04922</v>
      </c>
      <c r="AK73" s="11"/>
      <c r="AL73" s="18">
        <v>128.77520000000001</v>
      </c>
      <c r="AM73" s="10" t="s">
        <v>26</v>
      </c>
      <c r="AN73" s="18">
        <v>4.5822649999999996</v>
      </c>
      <c r="AO73" s="18">
        <v>18.601500000000001</v>
      </c>
      <c r="AP73" s="11"/>
      <c r="AQ73" s="18">
        <v>94.180580000000006</v>
      </c>
      <c r="AR73" s="10" t="s">
        <v>26</v>
      </c>
      <c r="AS73" s="18">
        <v>5.8561350000000001</v>
      </c>
      <c r="AT73" s="18">
        <v>8.8321699999999996</v>
      </c>
      <c r="AU73" s="11"/>
      <c r="AV73" s="10"/>
      <c r="AW73" s="10" t="s">
        <v>26</v>
      </c>
      <c r="AX73" s="10"/>
      <c r="AY73" s="10"/>
      <c r="AZ73" s="11"/>
      <c r="BA73" s="10"/>
      <c r="BB73" s="10" t="s">
        <v>26</v>
      </c>
      <c r="BC73" s="10"/>
      <c r="BD73" s="10"/>
      <c r="BE73" s="11"/>
      <c r="BF73" s="18">
        <v>52.42662</v>
      </c>
      <c r="BG73" s="10" t="s">
        <v>26</v>
      </c>
      <c r="BH73" s="18">
        <v>1.7974250000000001</v>
      </c>
      <c r="BI73" s="18">
        <v>2.6416400000000002</v>
      </c>
      <c r="BJ73" s="11"/>
      <c r="BK73" s="18">
        <v>52.867060000000002</v>
      </c>
      <c r="BL73" s="10" t="s">
        <v>26</v>
      </c>
      <c r="BM73" s="18">
        <v>1.9843219999999999</v>
      </c>
      <c r="BN73" s="18">
        <v>7.0210600000000003</v>
      </c>
      <c r="BO73" s="11"/>
      <c r="BP73" s="18">
        <v>41.632669999999997</v>
      </c>
      <c r="BQ73" s="10" t="s">
        <v>26</v>
      </c>
      <c r="BR73" s="18">
        <v>6.2436210000000001</v>
      </c>
      <c r="BS73" s="18">
        <v>17.4862</v>
      </c>
      <c r="BT73" s="11"/>
      <c r="BU73" s="18">
        <v>86.750829999999993</v>
      </c>
      <c r="BV73" s="10" t="s">
        <v>26</v>
      </c>
      <c r="BW73" s="18">
        <v>2.945268</v>
      </c>
      <c r="BX73" s="19">
        <v>7.3890700000000002</v>
      </c>
    </row>
    <row r="74" spans="1:76" ht="15" thickBot="1" x14ac:dyDescent="0.4">
      <c r="A74" s="10" t="s">
        <v>80</v>
      </c>
      <c r="B74" s="11" t="s">
        <v>46</v>
      </c>
      <c r="C74" s="11" t="s">
        <v>82</v>
      </c>
      <c r="D74" s="11">
        <v>4.1190000000000003E-3</v>
      </c>
      <c r="E74" s="20">
        <v>45000</v>
      </c>
      <c r="F74" s="11">
        <v>4.8820833333333331</v>
      </c>
      <c r="G74" s="14"/>
      <c r="H74" s="16">
        <v>479.09910000000002</v>
      </c>
      <c r="I74" s="15" t="s">
        <v>26</v>
      </c>
      <c r="J74" s="16">
        <v>24.449310000000001</v>
      </c>
      <c r="K74" s="16">
        <v>12.0044</v>
      </c>
      <c r="L74" s="14"/>
      <c r="M74" s="16">
        <v>55.390149999999998</v>
      </c>
      <c r="N74" s="15" t="s">
        <v>26</v>
      </c>
      <c r="O74" s="16">
        <v>8.4775469999999995</v>
      </c>
      <c r="P74" s="16">
        <v>11.8964</v>
      </c>
      <c r="Q74" s="14"/>
      <c r="R74" s="15"/>
      <c r="S74" s="15" t="s">
        <v>26</v>
      </c>
      <c r="T74" s="15"/>
      <c r="U74" s="16">
        <v>1.3250200000000001</v>
      </c>
      <c r="V74" s="14"/>
      <c r="W74" s="16">
        <v>99.912310000000005</v>
      </c>
      <c r="X74" s="15" t="s">
        <v>26</v>
      </c>
      <c r="Y74" s="16">
        <v>7.2357069999999997</v>
      </c>
      <c r="Z74" s="16">
        <v>5.1281800000000004</v>
      </c>
      <c r="AA74" s="14"/>
      <c r="AB74" s="15"/>
      <c r="AC74" s="15" t="s">
        <v>26</v>
      </c>
      <c r="AD74" s="15"/>
      <c r="AE74" s="16">
        <v>3.5178400000000001</v>
      </c>
      <c r="AF74" s="14"/>
      <c r="AG74" s="16">
        <v>114.1529</v>
      </c>
      <c r="AH74" s="15" t="s">
        <v>26</v>
      </c>
      <c r="AI74" s="16">
        <v>9.2507509999999993</v>
      </c>
      <c r="AJ74" s="16">
        <v>1.0806899999999999</v>
      </c>
      <c r="AK74" s="14"/>
      <c r="AL74" s="16">
        <v>109.77200000000001</v>
      </c>
      <c r="AM74" s="15" t="s">
        <v>26</v>
      </c>
      <c r="AN74" s="16">
        <v>7.4363919999999997</v>
      </c>
      <c r="AO74" s="16">
        <v>16.000499999999999</v>
      </c>
      <c r="AP74" s="14"/>
      <c r="AQ74" s="16">
        <v>47.560969999999998</v>
      </c>
      <c r="AR74" s="15" t="s">
        <v>26</v>
      </c>
      <c r="AS74" s="16">
        <v>4.0945169999999997</v>
      </c>
      <c r="AT74" s="16">
        <v>4.50345</v>
      </c>
      <c r="AU74" s="14"/>
      <c r="AV74" s="15"/>
      <c r="AW74" s="15" t="s">
        <v>26</v>
      </c>
      <c r="AX74" s="15"/>
      <c r="AY74" s="15"/>
      <c r="AZ74" s="14"/>
      <c r="BA74" s="15"/>
      <c r="BB74" s="15" t="s">
        <v>26</v>
      </c>
      <c r="BC74" s="15"/>
      <c r="BD74" s="15"/>
      <c r="BE74" s="14"/>
      <c r="BF74" s="16">
        <v>49.585549999999998</v>
      </c>
      <c r="BG74" s="15" t="s">
        <v>26</v>
      </c>
      <c r="BH74" s="16">
        <v>3.8573930000000001</v>
      </c>
      <c r="BI74" s="16">
        <v>2.5318999999999998</v>
      </c>
      <c r="BJ74" s="14"/>
      <c r="BK74" s="16">
        <v>45.838120000000004</v>
      </c>
      <c r="BL74" s="15" t="s">
        <v>26</v>
      </c>
      <c r="BM74" s="16">
        <v>4.0434299999999999</v>
      </c>
      <c r="BN74" s="16">
        <v>6.1944100000000004</v>
      </c>
      <c r="BO74" s="14"/>
      <c r="BP74" s="16">
        <v>43.12285</v>
      </c>
      <c r="BQ74" s="15" t="s">
        <v>26</v>
      </c>
      <c r="BR74" s="16">
        <v>7.4403499999999996</v>
      </c>
      <c r="BS74" s="16">
        <v>18.476099999999999</v>
      </c>
      <c r="BT74" s="14"/>
      <c r="BU74" s="16">
        <v>86.862840000000006</v>
      </c>
      <c r="BV74" s="15" t="s">
        <v>26</v>
      </c>
      <c r="BW74" s="16">
        <v>9.1138449999999995</v>
      </c>
      <c r="BX74" s="17">
        <v>7.6016899999999996</v>
      </c>
    </row>
    <row r="75" spans="1:76" ht="15" thickBot="1" x14ac:dyDescent="0.4"/>
    <row r="76" spans="1:76" ht="15" thickBot="1" x14ac:dyDescent="0.4">
      <c r="G76" s="13" t="s">
        <v>18</v>
      </c>
      <c r="H76" s="9" t="s">
        <v>24</v>
      </c>
      <c r="I76" s="9"/>
      <c r="J76" s="9"/>
      <c r="K76" s="9"/>
      <c r="L76" s="13" t="s">
        <v>1</v>
      </c>
      <c r="M76" s="9" t="s">
        <v>23</v>
      </c>
      <c r="N76" s="9"/>
      <c r="O76" s="9"/>
      <c r="P76" s="9"/>
      <c r="Q76" s="13" t="s">
        <v>2</v>
      </c>
      <c r="R76" s="9" t="s">
        <v>36</v>
      </c>
      <c r="S76" s="9"/>
      <c r="T76" s="9"/>
      <c r="U76" s="9"/>
      <c r="V76" s="13" t="s">
        <v>7</v>
      </c>
      <c r="W76" s="9" t="s">
        <v>38</v>
      </c>
      <c r="X76" s="9"/>
      <c r="Y76" s="9"/>
      <c r="Z76" s="9"/>
      <c r="AA76" s="13" t="s">
        <v>9</v>
      </c>
      <c r="AB76" s="9" t="s">
        <v>73</v>
      </c>
      <c r="AC76" s="9"/>
      <c r="AD76" s="9"/>
      <c r="AE76" s="9"/>
      <c r="AF76" s="13" t="s">
        <v>16</v>
      </c>
      <c r="AG76" s="9" t="s">
        <v>39</v>
      </c>
      <c r="AH76" s="9"/>
      <c r="AI76" s="9"/>
      <c r="AJ76" s="9"/>
      <c r="AK76" s="13" t="s">
        <v>17</v>
      </c>
      <c r="AL76" s="9" t="s">
        <v>40</v>
      </c>
      <c r="AM76" s="9"/>
      <c r="AN76" s="9"/>
      <c r="AO76" s="9"/>
      <c r="AP76" s="13" t="s">
        <v>19</v>
      </c>
      <c r="AQ76" s="9" t="s">
        <v>41</v>
      </c>
      <c r="AR76" s="9"/>
      <c r="AS76" s="9"/>
      <c r="AT76" s="9"/>
      <c r="AU76" s="13" t="s">
        <v>63</v>
      </c>
      <c r="AV76" s="9" t="s">
        <v>64</v>
      </c>
      <c r="AW76" s="9"/>
      <c r="AX76" s="9"/>
      <c r="AY76" s="9"/>
      <c r="AZ76" s="13" t="s">
        <v>65</v>
      </c>
      <c r="BA76" s="9" t="s">
        <v>66</v>
      </c>
      <c r="BB76" s="9"/>
      <c r="BC76" s="9"/>
      <c r="BD76" s="9"/>
      <c r="BE76" s="13" t="s">
        <v>21</v>
      </c>
      <c r="BF76" s="9" t="s">
        <v>42</v>
      </c>
      <c r="BG76" s="9"/>
      <c r="BH76" s="9"/>
      <c r="BI76" s="9"/>
      <c r="BJ76" s="13" t="s">
        <v>22</v>
      </c>
      <c r="BK76" s="9" t="s">
        <v>43</v>
      </c>
      <c r="BL76" s="9"/>
      <c r="BM76" s="9"/>
      <c r="BN76" s="9"/>
      <c r="BO76" s="13" t="s">
        <v>44</v>
      </c>
      <c r="BP76" s="9" t="s">
        <v>45</v>
      </c>
      <c r="BQ76" s="9"/>
      <c r="BR76" s="9"/>
      <c r="BS76" s="9"/>
      <c r="BT76" s="13" t="s">
        <v>47</v>
      </c>
      <c r="BU76" s="9" t="s">
        <v>48</v>
      </c>
      <c r="BV76" s="9"/>
      <c r="BW76" s="9"/>
      <c r="BX76" s="12"/>
    </row>
    <row r="77" spans="1:76" ht="15" thickBot="1" x14ac:dyDescent="0.4">
      <c r="A77" s="13" t="s">
        <v>30</v>
      </c>
      <c r="B77" s="13" t="s">
        <v>29</v>
      </c>
      <c r="C77" s="13" t="s">
        <v>31</v>
      </c>
      <c r="D77" s="13" t="s">
        <v>27</v>
      </c>
      <c r="E77" s="13" t="s">
        <v>25</v>
      </c>
      <c r="F77" s="13" t="s">
        <v>28</v>
      </c>
      <c r="G77" s="13" t="s">
        <v>32</v>
      </c>
      <c r="H77" s="9" t="s">
        <v>33</v>
      </c>
      <c r="I77" s="9"/>
      <c r="J77" s="9" t="s">
        <v>34</v>
      </c>
      <c r="K77" s="9" t="s">
        <v>35</v>
      </c>
      <c r="L77" s="13" t="s">
        <v>32</v>
      </c>
      <c r="M77" s="9" t="s">
        <v>33</v>
      </c>
      <c r="N77" s="9"/>
      <c r="O77" s="9" t="s">
        <v>34</v>
      </c>
      <c r="P77" s="9" t="s">
        <v>35</v>
      </c>
      <c r="Q77" s="13" t="s">
        <v>32</v>
      </c>
      <c r="R77" s="9" t="s">
        <v>33</v>
      </c>
      <c r="S77" s="9"/>
      <c r="T77" s="9" t="s">
        <v>34</v>
      </c>
      <c r="U77" s="9" t="s">
        <v>35</v>
      </c>
      <c r="V77" s="13" t="s">
        <v>32</v>
      </c>
      <c r="W77" s="9" t="s">
        <v>33</v>
      </c>
      <c r="X77" s="9"/>
      <c r="Y77" s="9" t="s">
        <v>34</v>
      </c>
      <c r="Z77" s="9" t="s">
        <v>35</v>
      </c>
      <c r="AA77" s="13" t="s">
        <v>32</v>
      </c>
      <c r="AB77" s="9" t="s">
        <v>33</v>
      </c>
      <c r="AC77" s="9"/>
      <c r="AD77" s="9" t="s">
        <v>34</v>
      </c>
      <c r="AE77" s="9" t="s">
        <v>35</v>
      </c>
      <c r="AF77" s="13" t="s">
        <v>32</v>
      </c>
      <c r="AG77" s="9" t="s">
        <v>33</v>
      </c>
      <c r="AH77" s="9"/>
      <c r="AI77" s="9" t="s">
        <v>34</v>
      </c>
      <c r="AJ77" s="9" t="s">
        <v>35</v>
      </c>
      <c r="AK77" s="13" t="s">
        <v>32</v>
      </c>
      <c r="AL77" s="9" t="s">
        <v>33</v>
      </c>
      <c r="AM77" s="9"/>
      <c r="AN77" s="9" t="s">
        <v>34</v>
      </c>
      <c r="AO77" s="9" t="s">
        <v>35</v>
      </c>
      <c r="AP77" s="13" t="s">
        <v>32</v>
      </c>
      <c r="AQ77" s="9" t="s">
        <v>33</v>
      </c>
      <c r="AR77" s="9"/>
      <c r="AS77" s="9" t="s">
        <v>34</v>
      </c>
      <c r="AT77" s="9" t="s">
        <v>35</v>
      </c>
      <c r="AU77" s="13" t="s">
        <v>32</v>
      </c>
      <c r="AV77" s="9" t="s">
        <v>33</v>
      </c>
      <c r="AW77" s="9"/>
      <c r="AX77" s="9" t="s">
        <v>34</v>
      </c>
      <c r="AY77" s="9" t="s">
        <v>35</v>
      </c>
      <c r="AZ77" s="13" t="s">
        <v>32</v>
      </c>
      <c r="BA77" s="9" t="s">
        <v>33</v>
      </c>
      <c r="BB77" s="9"/>
      <c r="BC77" s="9" t="s">
        <v>34</v>
      </c>
      <c r="BD77" s="9" t="s">
        <v>35</v>
      </c>
      <c r="BE77" s="13" t="s">
        <v>32</v>
      </c>
      <c r="BF77" s="9" t="s">
        <v>33</v>
      </c>
      <c r="BG77" s="9"/>
      <c r="BH77" s="9" t="s">
        <v>34</v>
      </c>
      <c r="BI77" s="9" t="s">
        <v>35</v>
      </c>
      <c r="BJ77" s="13" t="s">
        <v>32</v>
      </c>
      <c r="BK77" s="9" t="s">
        <v>33</v>
      </c>
      <c r="BL77" s="9"/>
      <c r="BM77" s="9" t="s">
        <v>34</v>
      </c>
      <c r="BN77" s="9" t="s">
        <v>35</v>
      </c>
      <c r="BO77" s="13" t="s">
        <v>32</v>
      </c>
      <c r="BP77" s="9" t="s">
        <v>33</v>
      </c>
      <c r="BQ77" s="9"/>
      <c r="BR77" s="9" t="s">
        <v>34</v>
      </c>
      <c r="BS77" s="9" t="s">
        <v>35</v>
      </c>
      <c r="BT77" s="13" t="s">
        <v>32</v>
      </c>
      <c r="BU77" s="9" t="s">
        <v>33</v>
      </c>
      <c r="BV77" s="9"/>
      <c r="BW77" s="9" t="s">
        <v>34</v>
      </c>
      <c r="BX77" s="12" t="s">
        <v>35</v>
      </c>
    </row>
    <row r="78" spans="1:76" ht="15" thickBot="1" x14ac:dyDescent="0.4">
      <c r="A78" s="13" t="s">
        <v>91</v>
      </c>
      <c r="B78" s="13" t="s">
        <v>92</v>
      </c>
      <c r="C78" s="13" t="s">
        <v>83</v>
      </c>
      <c r="D78" s="13">
        <v>5.3496000000000004E-3</v>
      </c>
      <c r="E78" s="21">
        <v>44606</v>
      </c>
      <c r="F78" s="13">
        <v>2.8429861111111112</v>
      </c>
      <c r="G78" s="11"/>
      <c r="H78" s="18">
        <v>358.55919999999998</v>
      </c>
      <c r="I78" s="10" t="s">
        <v>26</v>
      </c>
      <c r="J78" s="18">
        <v>16.289960000000001</v>
      </c>
      <c r="K78" s="18">
        <v>10.980399999999999</v>
      </c>
      <c r="L78" s="11"/>
      <c r="M78" s="18">
        <v>412.0215</v>
      </c>
      <c r="N78" s="10" t="s">
        <v>26</v>
      </c>
      <c r="O78" s="18">
        <v>62.016080000000002</v>
      </c>
      <c r="P78" s="18">
        <v>9.7536299999999994</v>
      </c>
      <c r="Q78" s="11"/>
      <c r="R78" s="18">
        <v>57.337380000000003</v>
      </c>
      <c r="S78" s="10" t="s">
        <v>26</v>
      </c>
      <c r="T78" s="18">
        <v>3.6754929999999999</v>
      </c>
      <c r="U78" s="18">
        <v>1.13927</v>
      </c>
      <c r="V78" s="11"/>
      <c r="W78" s="18">
        <v>28.756609999999998</v>
      </c>
      <c r="X78" s="10" t="s">
        <v>26</v>
      </c>
      <c r="Y78" s="18">
        <v>4.6251100000000003</v>
      </c>
      <c r="Z78" s="18">
        <v>4.2128800000000002</v>
      </c>
      <c r="AA78" s="11"/>
      <c r="AB78" s="18">
        <v>28.830829999999999</v>
      </c>
      <c r="AC78" s="10" t="s">
        <v>26</v>
      </c>
      <c r="AD78" s="18">
        <v>3.0157750000000001</v>
      </c>
      <c r="AE78" s="18">
        <v>2.4469599999999998</v>
      </c>
      <c r="AF78" s="11"/>
      <c r="AG78" s="18">
        <v>31.100390000000001</v>
      </c>
      <c r="AH78" s="10" t="s">
        <v>26</v>
      </c>
      <c r="AI78" s="18">
        <v>2.5510570000000001</v>
      </c>
      <c r="AJ78" s="18">
        <v>1.0230699999999999</v>
      </c>
      <c r="AK78" s="11"/>
      <c r="AL78" s="10"/>
      <c r="AM78" s="10" t="s">
        <v>26</v>
      </c>
      <c r="AN78" s="10"/>
      <c r="AO78" s="18">
        <v>23.347799999999999</v>
      </c>
      <c r="AP78" s="11"/>
      <c r="AQ78" s="18">
        <v>19.627269999999999</v>
      </c>
      <c r="AR78" s="10" t="s">
        <v>26</v>
      </c>
      <c r="AS78" s="18">
        <v>2.1931889999999998</v>
      </c>
      <c r="AT78" s="18">
        <v>3.8158599999999998</v>
      </c>
      <c r="AU78" s="11"/>
      <c r="AV78" s="10"/>
      <c r="AW78" s="10" t="s">
        <v>26</v>
      </c>
      <c r="AX78" s="10"/>
      <c r="AY78" s="10"/>
      <c r="AZ78" s="11"/>
      <c r="BA78" s="10"/>
      <c r="BB78" s="10" t="s">
        <v>26</v>
      </c>
      <c r="BC78" s="10"/>
      <c r="BD78" s="10"/>
      <c r="BE78" s="11"/>
      <c r="BF78" s="18">
        <v>23.594270000000002</v>
      </c>
      <c r="BG78" s="10" t="s">
        <v>26</v>
      </c>
      <c r="BH78" s="18">
        <v>2.1211890000000002</v>
      </c>
      <c r="BI78" s="18">
        <v>2.0105400000000002</v>
      </c>
      <c r="BJ78" s="11"/>
      <c r="BK78" s="18">
        <v>21.81026</v>
      </c>
      <c r="BL78" s="10" t="s">
        <v>26</v>
      </c>
      <c r="BM78" s="18">
        <v>2.2813319999999999</v>
      </c>
      <c r="BN78" s="18">
        <v>6.0196800000000001</v>
      </c>
      <c r="BO78" s="11"/>
      <c r="BP78" s="18">
        <v>52.063119999999998</v>
      </c>
      <c r="BQ78" s="10" t="s">
        <v>26</v>
      </c>
      <c r="BR78" s="18">
        <v>8.8733959999999996</v>
      </c>
      <c r="BS78" s="18">
        <v>32.438899999999997</v>
      </c>
      <c r="BT78" s="11"/>
      <c r="BU78" s="18">
        <v>23.398900000000001</v>
      </c>
      <c r="BV78" s="10" t="s">
        <v>26</v>
      </c>
      <c r="BW78" s="18">
        <v>2.7969870000000001</v>
      </c>
      <c r="BX78" s="19">
        <v>7.1093200000000003</v>
      </c>
    </row>
    <row r="79" spans="1:76" ht="15" thickBot="1" x14ac:dyDescent="0.4">
      <c r="A79" s="10" t="s">
        <v>91</v>
      </c>
      <c r="B79" s="11" t="s">
        <v>92</v>
      </c>
      <c r="C79" s="11" t="s">
        <v>81</v>
      </c>
      <c r="D79" s="11">
        <v>5.3496000000000004E-3</v>
      </c>
      <c r="E79" s="20">
        <v>44606</v>
      </c>
      <c r="F79" s="11">
        <v>2.8429861111111112</v>
      </c>
      <c r="G79" s="14"/>
      <c r="H79" s="16">
        <v>378.56</v>
      </c>
      <c r="I79" s="15" t="s">
        <v>26</v>
      </c>
      <c r="J79" s="16">
        <v>14.333</v>
      </c>
      <c r="K79" s="16">
        <v>11.539400000000001</v>
      </c>
      <c r="L79" s="14"/>
      <c r="M79" s="16">
        <v>419.37</v>
      </c>
      <c r="N79" s="15" t="s">
        <v>26</v>
      </c>
      <c r="O79" s="16">
        <v>7.3331999999999997</v>
      </c>
      <c r="P79" s="16">
        <v>9.3211700000000004</v>
      </c>
      <c r="Q79" s="14"/>
      <c r="R79" s="16">
        <v>91.57</v>
      </c>
      <c r="S79" s="15" t="s">
        <v>26</v>
      </c>
      <c r="T79" s="16">
        <v>2.2227000000000001</v>
      </c>
      <c r="U79" s="16">
        <v>1.8017099999999999</v>
      </c>
      <c r="V79" s="14"/>
      <c r="W79" s="16">
        <v>35.552</v>
      </c>
      <c r="X79" s="15" t="s">
        <v>26</v>
      </c>
      <c r="Y79" s="16">
        <v>5.4302000000000001</v>
      </c>
      <c r="Z79" s="16">
        <v>5.15686</v>
      </c>
      <c r="AA79" s="14"/>
      <c r="AB79" s="16">
        <v>27.242999999999999</v>
      </c>
      <c r="AC79" s="15" t="s">
        <v>26</v>
      </c>
      <c r="AD79" s="16">
        <v>2.7065000000000001</v>
      </c>
      <c r="AE79" s="16">
        <v>2.2928799999999998</v>
      </c>
      <c r="AF79" s="14"/>
      <c r="AG79" s="16">
        <v>32.267000000000003</v>
      </c>
      <c r="AH79" s="15" t="s">
        <v>26</v>
      </c>
      <c r="AI79" s="16">
        <v>0.61287000000000003</v>
      </c>
      <c r="AJ79" s="16">
        <v>1.0426800000000001</v>
      </c>
      <c r="AK79" s="14"/>
      <c r="AL79" s="15"/>
      <c r="AM79" s="15" t="s">
        <v>26</v>
      </c>
      <c r="AN79" s="15"/>
      <c r="AO79" s="16">
        <v>23.4621</v>
      </c>
      <c r="AP79" s="14"/>
      <c r="AQ79" s="16">
        <v>23.344999999999999</v>
      </c>
      <c r="AR79" s="15" t="s">
        <v>26</v>
      </c>
      <c r="AS79" s="16">
        <v>2.2033</v>
      </c>
      <c r="AT79" s="16">
        <v>4.4938000000000002</v>
      </c>
      <c r="AU79" s="14"/>
      <c r="AV79" s="15"/>
      <c r="AW79" s="15" t="s">
        <v>26</v>
      </c>
      <c r="AX79" s="15"/>
      <c r="AY79" s="15"/>
      <c r="AZ79" s="14"/>
      <c r="BA79" s="15"/>
      <c r="BB79" s="15" t="s">
        <v>26</v>
      </c>
      <c r="BC79" s="15"/>
      <c r="BD79" s="15"/>
      <c r="BE79" s="14"/>
      <c r="BF79" s="16">
        <v>25.971</v>
      </c>
      <c r="BG79" s="15" t="s">
        <v>26</v>
      </c>
      <c r="BH79" s="16">
        <v>1.4710000000000001</v>
      </c>
      <c r="BI79" s="16">
        <v>2.18371</v>
      </c>
      <c r="BJ79" s="14"/>
      <c r="BK79" s="16">
        <v>24.946999999999999</v>
      </c>
      <c r="BL79" s="15" t="s">
        <v>26</v>
      </c>
      <c r="BM79" s="16">
        <v>1.6861999999999999</v>
      </c>
      <c r="BN79" s="16">
        <v>6.7659000000000002</v>
      </c>
      <c r="BO79" s="14"/>
      <c r="BP79" s="16">
        <v>52.759</v>
      </c>
      <c r="BQ79" s="15" t="s">
        <v>26</v>
      </c>
      <c r="BR79" s="16">
        <v>7.7831000000000001</v>
      </c>
      <c r="BS79" s="16">
        <v>11.503500000000001</v>
      </c>
      <c r="BT79" s="14"/>
      <c r="BU79" s="16">
        <v>24.498999999999999</v>
      </c>
      <c r="BV79" s="15" t="s">
        <v>26</v>
      </c>
      <c r="BW79" s="16">
        <v>1.6313</v>
      </c>
      <c r="BX79" s="17">
        <v>7.23292</v>
      </c>
    </row>
    <row r="81" spans="3:4" x14ac:dyDescent="0.35">
      <c r="C81" t="s">
        <v>93</v>
      </c>
      <c r="D81">
        <f>5.3496/3</f>
        <v>1.7831999999999999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heckBox1">
          <controlPr defaultSize="0" autoLine="0" autoPict="0" r:id="rId5">
            <anchor moveWithCells="1">
              <from>
                <xdr:col>4</xdr:col>
                <xdr:colOff>749300</xdr:colOff>
                <xdr:row>3</xdr:row>
                <xdr:rowOff>152400</xdr:rowOff>
              </from>
              <to>
                <xdr:col>6</xdr:col>
                <xdr:colOff>438150</xdr:colOff>
                <xdr:row>6</xdr:row>
                <xdr:rowOff>12700</xdr:rowOff>
              </to>
            </anchor>
          </controlPr>
        </control>
      </mc:Choice>
      <mc:Fallback>
        <control shapeId="3078" r:id="rId4" name="CheckBox1"/>
      </mc:Fallback>
    </mc:AlternateContent>
    <mc:AlternateContent xmlns:mc="http://schemas.openxmlformats.org/markup-compatibility/2006">
      <mc:Choice Requires="x14">
        <control shapeId="3080" r:id="rId6" name="GenieDataShiftColumnCheckBox">
          <controlPr defaultSize="0" autoLine="0" autoPict="0" r:id="rId7">
            <anchor moveWithCells="1">
              <from>
                <xdr:col>8</xdr:col>
                <xdr:colOff>1384300</xdr:colOff>
                <xdr:row>2</xdr:row>
                <xdr:rowOff>127000</xdr:rowOff>
              </from>
              <to>
                <xdr:col>10</xdr:col>
                <xdr:colOff>1181100</xdr:colOff>
                <xdr:row>4</xdr:row>
                <xdr:rowOff>6350</xdr:rowOff>
              </to>
            </anchor>
          </controlPr>
        </control>
      </mc:Choice>
      <mc:Fallback>
        <control shapeId="3080" r:id="rId6" name="GenieDataShiftColumnCheckBox"/>
      </mc:Fallback>
    </mc:AlternateContent>
    <mc:AlternateContent xmlns:mc="http://schemas.openxmlformats.org/markup-compatibility/2006">
      <mc:Choice Requires="x14">
        <control shapeId="3081" r:id="rId8" name="ReadNetPeakAreaChkBox">
          <controlPr defaultSize="0" autoLine="0" autoPict="0" r:id="rId9">
            <anchor moveWithCells="1">
              <from>
                <xdr:col>8</xdr:col>
                <xdr:colOff>1390650</xdr:colOff>
                <xdr:row>4</xdr:row>
                <xdr:rowOff>50800</xdr:rowOff>
              </from>
              <to>
                <xdr:col>11</xdr:col>
                <xdr:colOff>38100</xdr:colOff>
                <xdr:row>6</xdr:row>
                <xdr:rowOff>19050</xdr:rowOff>
              </to>
            </anchor>
          </controlPr>
        </control>
      </mc:Choice>
      <mc:Fallback>
        <control shapeId="3081" r:id="rId8" name="ReadNetPeakAreaChkBox"/>
      </mc:Fallback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FilePathByBrowse">
            <anchor moveWithCells="1">
              <from>
                <xdr:col>7</xdr:col>
                <xdr:colOff>800100</xdr:colOff>
                <xdr:row>0</xdr:row>
                <xdr:rowOff>44450</xdr:rowOff>
              </from>
              <to>
                <xdr:col>10</xdr:col>
                <xdr:colOff>717550</xdr:colOff>
                <xdr:row>0</xdr:row>
                <xdr:rowOff>311150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1" name="Button 19">
          <controlPr defaultSize="0" print="0" autoFill="0" autoPict="0" macro="[0]!ShowNuclideList">
            <anchor moveWithCells="1" sizeWithCells="1">
              <from>
                <xdr:col>7</xdr:col>
                <xdr:colOff>69850</xdr:colOff>
                <xdr:row>2</xdr:row>
                <xdr:rowOff>63500</xdr:rowOff>
              </from>
              <to>
                <xdr:col>8</xdr:col>
                <xdr:colOff>762000</xdr:colOff>
                <xdr:row>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4" r:id="rId12" name="Button 1020">
          <controlPr defaultSize="0" print="0" autoFill="0" autoPict="0" macro="[0]!ImportRPTDataToExcel">
            <anchor moveWithCells="1" sizeWithCells="1">
              <from>
                <xdr:col>0</xdr:col>
                <xdr:colOff>254000</xdr:colOff>
                <xdr:row>2</xdr:row>
                <xdr:rowOff>82550</xdr:rowOff>
              </from>
              <to>
                <xdr:col>4</xdr:col>
                <xdr:colOff>482600</xdr:colOff>
                <xdr:row>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5C08-A020-47FD-B1C0-21CA19A2D470}">
  <sheetPr codeName="Sheet9"/>
  <dimension ref="A8:AD117"/>
  <sheetViews>
    <sheetView topLeftCell="A79" workbookViewId="0">
      <pane xSplit="1" topLeftCell="B1" activePane="topRight" state="frozen"/>
      <selection pane="topRight" activeCell="F88" sqref="F88"/>
    </sheetView>
  </sheetViews>
  <sheetFormatPr defaultRowHeight="14.5" x14ac:dyDescent="0.35"/>
  <cols>
    <col min="1" max="1" width="12.81640625" customWidth="1"/>
    <col min="2" max="3" width="14.7265625" customWidth="1"/>
    <col min="5" max="5" width="14.6328125" customWidth="1"/>
  </cols>
  <sheetData>
    <row r="8" spans="1:24" ht="15" thickBot="1" x14ac:dyDescent="0.4">
      <c r="G8" t="s">
        <v>1</v>
      </c>
      <c r="H8" t="s">
        <v>23</v>
      </c>
      <c r="J8" t="s">
        <v>44</v>
      </c>
      <c r="K8" t="s">
        <v>45</v>
      </c>
      <c r="M8" t="s">
        <v>21</v>
      </c>
      <c r="N8" t="s">
        <v>42</v>
      </c>
      <c r="P8" t="s">
        <v>19</v>
      </c>
      <c r="Q8" t="s">
        <v>41</v>
      </c>
      <c r="S8" t="s">
        <v>63</v>
      </c>
      <c r="T8" t="s">
        <v>64</v>
      </c>
      <c r="V8" t="s">
        <v>65</v>
      </c>
      <c r="W8" t="s">
        <v>66</v>
      </c>
    </row>
    <row r="9" spans="1:24" ht="15" thickBot="1" x14ac:dyDescent="0.4">
      <c r="A9" s="13" t="s">
        <v>30</v>
      </c>
      <c r="B9" s="13" t="s">
        <v>29</v>
      </c>
      <c r="C9" s="13" t="s">
        <v>31</v>
      </c>
      <c r="D9" s="13" t="s">
        <v>27</v>
      </c>
      <c r="E9" s="13" t="s">
        <v>25</v>
      </c>
      <c r="F9" s="25" t="s">
        <v>28</v>
      </c>
      <c r="G9" t="s">
        <v>53</v>
      </c>
      <c r="H9" t="s">
        <v>54</v>
      </c>
      <c r="I9" t="s">
        <v>55</v>
      </c>
      <c r="J9" t="s">
        <v>53</v>
      </c>
      <c r="K9" t="s">
        <v>54</v>
      </c>
      <c r="L9" t="s">
        <v>55</v>
      </c>
      <c r="M9" t="s">
        <v>53</v>
      </c>
      <c r="N9" t="s">
        <v>54</v>
      </c>
      <c r="O9" t="s">
        <v>55</v>
      </c>
      <c r="P9" t="s">
        <v>53</v>
      </c>
      <c r="Q9" t="s">
        <v>54</v>
      </c>
      <c r="R9" t="s">
        <v>55</v>
      </c>
      <c r="S9" t="s">
        <v>53</v>
      </c>
      <c r="T9" t="s">
        <v>54</v>
      </c>
      <c r="U9" t="s">
        <v>55</v>
      </c>
      <c r="V9" t="s">
        <v>53</v>
      </c>
      <c r="W9" t="s">
        <v>54</v>
      </c>
      <c r="X9" t="s">
        <v>55</v>
      </c>
    </row>
    <row r="10" spans="1:24" ht="15" thickBot="1" x14ac:dyDescent="0.4">
      <c r="A10" s="10" t="s">
        <v>52</v>
      </c>
      <c r="B10" s="11" t="s">
        <v>37</v>
      </c>
      <c r="C10" s="11" t="s">
        <v>50</v>
      </c>
      <c r="D10" s="11">
        <v>4.0795999999999999E-2</v>
      </c>
      <c r="E10" s="20">
        <v>44893</v>
      </c>
      <c r="F10" s="26">
        <v>2.0012268518518521</v>
      </c>
      <c r="G10" s="8">
        <v>1442</v>
      </c>
      <c r="H10" s="8">
        <v>75.23</v>
      </c>
      <c r="I10">
        <v>8.3397915630458175E-3</v>
      </c>
      <c r="J10" s="8">
        <v>2117</v>
      </c>
      <c r="K10" s="8">
        <v>272.3</v>
      </c>
      <c r="L10">
        <v>1.2243646837009705E-2</v>
      </c>
      <c r="M10" s="8">
        <v>4362</v>
      </c>
      <c r="N10" s="8">
        <v>255.6</v>
      </c>
      <c r="O10">
        <v>2.5227580303748859E-2</v>
      </c>
      <c r="P10" s="8">
        <v>3016</v>
      </c>
      <c r="Q10" s="8">
        <v>69.94</v>
      </c>
      <c r="R10">
        <v>1.7443003713000126E-2</v>
      </c>
      <c r="S10" s="8">
        <v>540.9</v>
      </c>
      <c r="T10" s="8">
        <v>31.39</v>
      </c>
      <c r="U10">
        <v>3.1282893595363953E-3</v>
      </c>
      <c r="X10">
        <v>0</v>
      </c>
    </row>
    <row r="11" spans="1:24" x14ac:dyDescent="0.35">
      <c r="A11" t="s">
        <v>56</v>
      </c>
      <c r="B11" t="s">
        <v>37</v>
      </c>
      <c r="C11" t="s">
        <v>50</v>
      </c>
      <c r="D11">
        <v>1</v>
      </c>
      <c r="E11" s="1">
        <v>44608</v>
      </c>
      <c r="F11">
        <v>0.11574074074074074</v>
      </c>
      <c r="G11" s="8">
        <v>7500</v>
      </c>
      <c r="H11" s="8">
        <v>88.77</v>
      </c>
      <c r="I11">
        <v>0.75</v>
      </c>
      <c r="J11" s="8">
        <v>7652</v>
      </c>
      <c r="K11" s="8">
        <v>95.37</v>
      </c>
      <c r="L11">
        <v>0.76519999999999999</v>
      </c>
      <c r="M11" s="8">
        <v>32060</v>
      </c>
      <c r="N11" s="8">
        <v>317.2</v>
      </c>
      <c r="O11">
        <v>3.206</v>
      </c>
      <c r="P11" s="8">
        <v>23850</v>
      </c>
      <c r="Q11" s="8">
        <v>155.6</v>
      </c>
      <c r="R11">
        <v>2.3849999999999998</v>
      </c>
      <c r="S11" s="8">
        <v>4930</v>
      </c>
      <c r="T11" s="8">
        <v>72.83</v>
      </c>
      <c r="U11">
        <v>0.49299999999999999</v>
      </c>
      <c r="V11" s="8">
        <v>3954</v>
      </c>
      <c r="W11" s="8">
        <v>63.79</v>
      </c>
      <c r="X11">
        <v>0.39539999999999997</v>
      </c>
    </row>
    <row r="12" spans="1:24" x14ac:dyDescent="0.35">
      <c r="A12" t="s">
        <v>60</v>
      </c>
      <c r="B12" t="s">
        <v>37</v>
      </c>
      <c r="C12" t="s">
        <v>50</v>
      </c>
      <c r="D12">
        <v>5.7541000000000002E-2</v>
      </c>
      <c r="E12" s="1">
        <v>44901</v>
      </c>
      <c r="F12">
        <v>0.11574074074074074</v>
      </c>
      <c r="G12" s="8">
        <v>2013</v>
      </c>
      <c r="H12" s="8">
        <v>79.28</v>
      </c>
      <c r="I12">
        <v>0.20130000000000001</v>
      </c>
      <c r="J12" s="8">
        <v>6128</v>
      </c>
      <c r="K12" s="8">
        <v>97.98</v>
      </c>
      <c r="L12">
        <v>0.61280000000000001</v>
      </c>
      <c r="O12">
        <v>0</v>
      </c>
      <c r="R12">
        <v>0</v>
      </c>
      <c r="U12">
        <v>0</v>
      </c>
      <c r="X12">
        <v>0</v>
      </c>
    </row>
    <row r="13" spans="1:24" x14ac:dyDescent="0.35">
      <c r="A13" t="s">
        <v>58</v>
      </c>
      <c r="B13" t="s">
        <v>37</v>
      </c>
      <c r="C13" t="s">
        <v>50</v>
      </c>
      <c r="D13">
        <v>5.7541000000000002E-2</v>
      </c>
      <c r="E13" s="1">
        <v>44594</v>
      </c>
      <c r="F13">
        <v>1.1574074074074074</v>
      </c>
      <c r="I13">
        <v>0</v>
      </c>
      <c r="L13">
        <v>0</v>
      </c>
      <c r="O13">
        <v>0</v>
      </c>
      <c r="R13">
        <v>0</v>
      </c>
      <c r="U13">
        <v>0</v>
      </c>
      <c r="V13" s="8">
        <v>26.05</v>
      </c>
      <c r="W13" s="8">
        <v>11.95</v>
      </c>
      <c r="X13">
        <v>2.6049999999999999E-4</v>
      </c>
    </row>
    <row r="14" spans="1:24" x14ac:dyDescent="0.35">
      <c r="A14" t="s">
        <v>59</v>
      </c>
      <c r="B14" t="s">
        <v>37</v>
      </c>
      <c r="C14" t="s">
        <v>50</v>
      </c>
      <c r="D14">
        <v>5.0090000000000003E-2</v>
      </c>
      <c r="E14" s="1">
        <v>44596</v>
      </c>
      <c r="F14">
        <v>1.1574074074074074</v>
      </c>
      <c r="G14" s="8">
        <v>1552</v>
      </c>
      <c r="H14" s="8">
        <v>145.5</v>
      </c>
      <c r="I14">
        <v>1.5520000000000001E-2</v>
      </c>
      <c r="J14" s="8">
        <v>3535</v>
      </c>
      <c r="K14" s="8">
        <v>645.5</v>
      </c>
      <c r="L14">
        <v>3.5349999999999999E-2</v>
      </c>
      <c r="M14" s="8">
        <v>8576</v>
      </c>
      <c r="N14" s="8">
        <v>465.7</v>
      </c>
      <c r="O14">
        <v>8.5760000000000003E-2</v>
      </c>
      <c r="P14" s="8">
        <v>5861</v>
      </c>
      <c r="Q14" s="8">
        <v>130.6</v>
      </c>
      <c r="R14">
        <v>5.8610000000000002E-2</v>
      </c>
      <c r="U14">
        <v>0</v>
      </c>
      <c r="X14">
        <v>0</v>
      </c>
    </row>
    <row r="15" spans="1:24" x14ac:dyDescent="0.35">
      <c r="A15" t="s">
        <v>57</v>
      </c>
      <c r="B15" t="s">
        <v>37</v>
      </c>
      <c r="C15" t="s">
        <v>50</v>
      </c>
      <c r="D15">
        <v>5.0090000000000003E-2</v>
      </c>
      <c r="E15" s="1">
        <v>44901</v>
      </c>
      <c r="F15">
        <v>0.11574074074074074</v>
      </c>
      <c r="G15" s="8">
        <v>3295</v>
      </c>
      <c r="H15" s="8">
        <v>103.5</v>
      </c>
      <c r="I15">
        <v>0.32950000000000002</v>
      </c>
      <c r="J15" s="8">
        <v>6547</v>
      </c>
      <c r="K15" s="8">
        <v>114.7</v>
      </c>
      <c r="L15">
        <v>0.65469999999999995</v>
      </c>
      <c r="O15">
        <v>0</v>
      </c>
      <c r="R15">
        <v>0</v>
      </c>
      <c r="U15">
        <v>0</v>
      </c>
      <c r="X15">
        <v>0</v>
      </c>
    </row>
    <row r="16" spans="1:24" s="27" customFormat="1" x14ac:dyDescent="0.35">
      <c r="A16" s="27" t="s">
        <v>61</v>
      </c>
      <c r="B16" s="27" t="s">
        <v>37</v>
      </c>
      <c r="C16" s="27" t="s">
        <v>50</v>
      </c>
      <c r="D16" s="27">
        <v>6.4928E-2</v>
      </c>
      <c r="E16" s="28">
        <v>44592</v>
      </c>
      <c r="F16" s="27">
        <v>1.0919328703703706</v>
      </c>
      <c r="G16" s="29">
        <v>125000</v>
      </c>
      <c r="H16" s="29">
        <v>1288</v>
      </c>
      <c r="I16" s="27">
        <v>1.3249525666981121</v>
      </c>
      <c r="J16" s="29">
        <v>188700</v>
      </c>
      <c r="K16" s="29">
        <v>469.7</v>
      </c>
      <c r="L16" s="27">
        <v>2.0001483946874701</v>
      </c>
      <c r="M16" s="29">
        <v>671300</v>
      </c>
      <c r="N16" s="29">
        <v>1412</v>
      </c>
      <c r="O16" s="27">
        <v>7.1155252641955418</v>
      </c>
      <c r="P16" s="29">
        <v>466200</v>
      </c>
      <c r="Q16" s="29">
        <v>690.3</v>
      </c>
      <c r="R16" s="27">
        <v>4.9415430927572794</v>
      </c>
      <c r="S16" s="29">
        <v>99070</v>
      </c>
      <c r="T16" s="29">
        <v>326.8</v>
      </c>
      <c r="U16" s="27">
        <v>1.0501044062622558</v>
      </c>
      <c r="V16" s="29">
        <v>86170</v>
      </c>
      <c r="W16" s="29">
        <v>297.60000000000002</v>
      </c>
      <c r="X16" s="27">
        <v>0.91336930137901062</v>
      </c>
    </row>
    <row r="17" spans="1:27" x14ac:dyDescent="0.35">
      <c r="A17" t="s">
        <v>62</v>
      </c>
      <c r="B17" t="s">
        <v>37</v>
      </c>
      <c r="C17" t="s">
        <v>50</v>
      </c>
      <c r="D17">
        <v>6.4928E-2</v>
      </c>
      <c r="E17" s="1">
        <v>44608</v>
      </c>
      <c r="F17">
        <v>0.11574074074074074</v>
      </c>
      <c r="G17" s="8">
        <v>16810</v>
      </c>
      <c r="H17" s="8">
        <v>486.8</v>
      </c>
      <c r="I17">
        <v>1.681</v>
      </c>
      <c r="J17" s="8">
        <v>25280</v>
      </c>
      <c r="K17" s="8">
        <v>568</v>
      </c>
      <c r="L17">
        <v>2.528</v>
      </c>
      <c r="M17" s="8">
        <v>94090</v>
      </c>
      <c r="N17" s="8">
        <v>528</v>
      </c>
      <c r="O17">
        <v>9.4090000000000007</v>
      </c>
      <c r="P17" s="8">
        <v>67770</v>
      </c>
      <c r="Q17" s="8">
        <v>262.5</v>
      </c>
      <c r="R17">
        <v>6.7770000000000001</v>
      </c>
      <c r="S17" s="8">
        <v>14390</v>
      </c>
      <c r="T17" s="8">
        <v>124.4</v>
      </c>
      <c r="U17">
        <v>1.4390000000000001</v>
      </c>
      <c r="V17" s="8">
        <v>12340</v>
      </c>
      <c r="W17" s="8">
        <v>112.7</v>
      </c>
      <c r="X17">
        <v>1.234</v>
      </c>
    </row>
    <row r="19" spans="1:27" ht="15" thickBot="1" x14ac:dyDescent="0.4">
      <c r="G19" t="s">
        <v>1</v>
      </c>
      <c r="H19" t="s">
        <v>23</v>
      </c>
      <c r="J19" t="s">
        <v>44</v>
      </c>
      <c r="K19" t="s">
        <v>45</v>
      </c>
      <c r="M19" t="s">
        <v>21</v>
      </c>
      <c r="N19" t="s">
        <v>42</v>
      </c>
      <c r="P19" t="s">
        <v>19</v>
      </c>
      <c r="Q19" t="s">
        <v>41</v>
      </c>
      <c r="S19" t="s">
        <v>63</v>
      </c>
      <c r="T19" t="s">
        <v>64</v>
      </c>
      <c r="V19" t="s">
        <v>65</v>
      </c>
      <c r="W19" t="s">
        <v>66</v>
      </c>
    </row>
    <row r="20" spans="1:27" ht="15" thickBot="1" x14ac:dyDescent="0.4">
      <c r="A20" s="13" t="s">
        <v>30</v>
      </c>
      <c r="B20" s="13" t="s">
        <v>29</v>
      </c>
      <c r="C20" s="13" t="s">
        <v>31</v>
      </c>
      <c r="D20" s="13" t="s">
        <v>27</v>
      </c>
      <c r="E20" s="13" t="s">
        <v>25</v>
      </c>
      <c r="F20" s="25" t="s">
        <v>28</v>
      </c>
      <c r="G20" t="s">
        <v>53</v>
      </c>
      <c r="H20" t="s">
        <v>54</v>
      </c>
      <c r="I20" t="s">
        <v>55</v>
      </c>
      <c r="J20" t="s">
        <v>53</v>
      </c>
      <c r="K20" t="s">
        <v>54</v>
      </c>
      <c r="L20" t="s">
        <v>55</v>
      </c>
      <c r="M20" t="s">
        <v>53</v>
      </c>
      <c r="N20" t="s">
        <v>54</v>
      </c>
      <c r="O20" t="s">
        <v>55</v>
      </c>
      <c r="P20" t="s">
        <v>53</v>
      </c>
      <c r="Q20" t="s">
        <v>54</v>
      </c>
      <c r="R20" t="s">
        <v>55</v>
      </c>
      <c r="S20" t="s">
        <v>53</v>
      </c>
      <c r="T20" t="s">
        <v>54</v>
      </c>
      <c r="U20" t="s">
        <v>55</v>
      </c>
      <c r="V20" t="s">
        <v>53</v>
      </c>
      <c r="W20" t="s">
        <v>54</v>
      </c>
      <c r="X20" t="s">
        <v>55</v>
      </c>
    </row>
    <row r="21" spans="1:27" ht="15" thickBot="1" x14ac:dyDescent="0.4">
      <c r="A21" s="10" t="s">
        <v>52</v>
      </c>
      <c r="B21" s="11" t="s">
        <v>37</v>
      </c>
      <c r="C21" s="11" t="s">
        <v>50</v>
      </c>
      <c r="D21" s="11">
        <v>4.0795999999999999E-2</v>
      </c>
      <c r="E21" s="20">
        <v>44893</v>
      </c>
      <c r="F21" s="26">
        <v>2.0012268518518521</v>
      </c>
      <c r="G21" s="8">
        <v>1442</v>
      </c>
      <c r="H21" s="8">
        <v>75.23</v>
      </c>
      <c r="I21">
        <v>8.3397915630458175E-3</v>
      </c>
      <c r="J21" s="8">
        <v>2117</v>
      </c>
      <c r="K21" s="8">
        <v>272.3</v>
      </c>
      <c r="L21">
        <v>1.2243646837009705E-2</v>
      </c>
      <c r="M21" s="8">
        <v>4362</v>
      </c>
      <c r="N21" s="8">
        <v>255.6</v>
      </c>
      <c r="O21">
        <v>2.5227580303748859E-2</v>
      </c>
      <c r="P21" s="8">
        <v>3016</v>
      </c>
      <c r="Q21" s="8">
        <v>69.94</v>
      </c>
      <c r="R21">
        <v>1.7443003713000126E-2</v>
      </c>
      <c r="S21" s="8">
        <v>540.9</v>
      </c>
      <c r="T21" s="8">
        <v>31.39</v>
      </c>
      <c r="U21">
        <v>3.1282893595363953E-3</v>
      </c>
      <c r="V21" s="8">
        <v>481.9</v>
      </c>
      <c r="W21" s="8">
        <v>10.119999999999999</v>
      </c>
      <c r="X21" s="8">
        <f>V21/$E$21/86400</f>
        <v>1.2424089047950229E-7</v>
      </c>
    </row>
    <row r="22" spans="1:27" x14ac:dyDescent="0.35">
      <c r="A22" t="s">
        <v>56</v>
      </c>
      <c r="B22" t="s">
        <v>37</v>
      </c>
      <c r="C22" t="s">
        <v>50</v>
      </c>
      <c r="D22">
        <v>1</v>
      </c>
      <c r="E22" s="1">
        <v>44608</v>
      </c>
      <c r="F22">
        <v>0.11574074074074074</v>
      </c>
      <c r="G22" s="8">
        <v>7500</v>
      </c>
      <c r="H22" s="8">
        <v>88.77</v>
      </c>
      <c r="I22">
        <v>0.75</v>
      </c>
      <c r="J22" s="8">
        <v>7652</v>
      </c>
      <c r="K22" s="8">
        <v>95.37</v>
      </c>
      <c r="L22">
        <v>0.76519999999999999</v>
      </c>
      <c r="M22" s="8">
        <v>32060</v>
      </c>
      <c r="N22" s="8">
        <v>317.2</v>
      </c>
      <c r="O22">
        <v>3.206</v>
      </c>
      <c r="P22" s="8">
        <v>23850</v>
      </c>
      <c r="Q22" s="8">
        <v>155.6</v>
      </c>
      <c r="R22">
        <v>2.3849999999999998</v>
      </c>
      <c r="S22" s="8">
        <v>4930</v>
      </c>
      <c r="T22" s="8">
        <v>72.83</v>
      </c>
      <c r="U22">
        <v>0.49299999999999999</v>
      </c>
      <c r="V22" s="8">
        <v>3954</v>
      </c>
      <c r="W22" s="8">
        <v>63.79</v>
      </c>
      <c r="X22">
        <v>0.39539999999999997</v>
      </c>
    </row>
    <row r="23" spans="1:27" x14ac:dyDescent="0.35">
      <c r="A23" t="s">
        <v>60</v>
      </c>
      <c r="B23" t="s">
        <v>37</v>
      </c>
      <c r="C23" t="s">
        <v>50</v>
      </c>
      <c r="D23">
        <v>5.7541000000000002E-2</v>
      </c>
      <c r="E23" s="1">
        <v>44901</v>
      </c>
      <c r="F23">
        <v>0.11574074074074074</v>
      </c>
      <c r="G23" s="8">
        <v>2025</v>
      </c>
      <c r="H23" s="8">
        <v>79.38</v>
      </c>
      <c r="I23">
        <v>0.20250000000000001</v>
      </c>
      <c r="J23" s="8">
        <v>6128</v>
      </c>
      <c r="K23" s="8">
        <v>97.98</v>
      </c>
      <c r="L23">
        <v>0.61280000000000001</v>
      </c>
      <c r="M23" s="8">
        <v>31030</v>
      </c>
      <c r="N23" s="8">
        <v>177.9</v>
      </c>
      <c r="O23" s="8">
        <f>M23/$D$23/86400</f>
        <v>6.2415237572951208</v>
      </c>
      <c r="P23" s="8">
        <v>24110</v>
      </c>
      <c r="Q23" s="8">
        <v>254.8</v>
      </c>
      <c r="R23" s="8">
        <f>P23/$E$23/86400</f>
        <v>6.2148042566073349E-6</v>
      </c>
      <c r="S23" s="8">
        <v>5309</v>
      </c>
      <c r="T23" s="8">
        <v>187.7</v>
      </c>
      <c r="U23" s="8">
        <f>S23/$E$23/86400</f>
        <v>1.3684942263927143E-6</v>
      </c>
      <c r="V23" s="8">
        <v>4178</v>
      </c>
      <c r="W23" s="8">
        <v>147.69999999999999</v>
      </c>
      <c r="X23" s="8">
        <f>V23/$E$23/86400</f>
        <v>1.0769577844921378E-6</v>
      </c>
    </row>
    <row r="24" spans="1:27" x14ac:dyDescent="0.35">
      <c r="A24" t="s">
        <v>58</v>
      </c>
      <c r="B24" t="s">
        <v>37</v>
      </c>
      <c r="C24" t="s">
        <v>50</v>
      </c>
      <c r="D24">
        <v>5.7541000000000002E-2</v>
      </c>
      <c r="E24" s="1">
        <v>44594</v>
      </c>
      <c r="F24">
        <v>1.1574074074074074</v>
      </c>
      <c r="I24">
        <v>0</v>
      </c>
      <c r="L24">
        <v>0</v>
      </c>
      <c r="O24">
        <v>0</v>
      </c>
      <c r="R24">
        <v>0</v>
      </c>
      <c r="U24">
        <v>0</v>
      </c>
      <c r="V24" s="8">
        <v>26.05</v>
      </c>
      <c r="W24" s="8">
        <v>11.95</v>
      </c>
      <c r="X24">
        <v>2.6049999999999999E-4</v>
      </c>
    </row>
    <row r="25" spans="1:27" x14ac:dyDescent="0.35">
      <c r="A25" t="s">
        <v>59</v>
      </c>
      <c r="B25" t="s">
        <v>37</v>
      </c>
      <c r="C25" t="s">
        <v>50</v>
      </c>
      <c r="D25">
        <v>5.0090000000000003E-2</v>
      </c>
      <c r="E25" s="1">
        <v>44596</v>
      </c>
      <c r="F25">
        <v>1.1574074074074074</v>
      </c>
      <c r="G25" s="8">
        <v>1552</v>
      </c>
      <c r="H25" s="8">
        <v>145.5</v>
      </c>
      <c r="I25">
        <v>1.5520000000000001E-2</v>
      </c>
      <c r="J25" s="8">
        <v>3535</v>
      </c>
      <c r="K25" s="8">
        <v>645.5</v>
      </c>
      <c r="L25">
        <v>3.5349999999999999E-2</v>
      </c>
      <c r="M25" s="8">
        <v>8576</v>
      </c>
      <c r="N25" s="8">
        <v>465.7</v>
      </c>
      <c r="O25">
        <v>8.5760000000000003E-2</v>
      </c>
      <c r="P25" s="8">
        <v>5861</v>
      </c>
      <c r="Q25" s="8">
        <v>130.6</v>
      </c>
      <c r="R25" s="8">
        <f>P25/$E$25/86400</f>
        <v>1.5211150809074391E-6</v>
      </c>
      <c r="S25" s="8">
        <v>2577</v>
      </c>
      <c r="T25" s="8">
        <v>76.45</v>
      </c>
      <c r="U25" s="8">
        <f>S25/$E$25/86400</f>
        <v>6.6881309733807714E-7</v>
      </c>
      <c r="V25" s="8">
        <v>1116</v>
      </c>
      <c r="W25" s="8">
        <v>53.16</v>
      </c>
      <c r="X25" s="8">
        <f>V25/$E$25/86400</f>
        <v>2.8963733668191464E-7</v>
      </c>
    </row>
    <row r="26" spans="1:27" x14ac:dyDescent="0.35">
      <c r="A26" t="s">
        <v>57</v>
      </c>
      <c r="B26" t="s">
        <v>37</v>
      </c>
      <c r="C26" t="s">
        <v>50</v>
      </c>
      <c r="D26">
        <v>5.0090000000000003E-2</v>
      </c>
      <c r="E26" s="1">
        <v>44901</v>
      </c>
      <c r="F26">
        <v>0.11574074074074074</v>
      </c>
      <c r="G26" s="8">
        <v>3295</v>
      </c>
      <c r="H26" s="8">
        <v>103.5</v>
      </c>
      <c r="I26">
        <v>0.32950000000000002</v>
      </c>
      <c r="J26" s="8">
        <v>6547</v>
      </c>
      <c r="K26" s="8">
        <v>114.7</v>
      </c>
      <c r="L26">
        <v>0.65469999999999995</v>
      </c>
      <c r="M26" s="8">
        <v>33110</v>
      </c>
      <c r="N26" s="8">
        <v>186.2</v>
      </c>
      <c r="O26" s="8">
        <f>M26/$E$26/86400</f>
        <v>8.53472289242094E-6</v>
      </c>
      <c r="P26" s="8">
        <v>25770</v>
      </c>
      <c r="Q26" s="8">
        <v>155.6</v>
      </c>
      <c r="R26" s="8">
        <f>P26/$E$26/86400</f>
        <v>6.6427003605462875E-6</v>
      </c>
      <c r="S26" s="8">
        <v>5459</v>
      </c>
      <c r="T26" s="8">
        <v>114.9</v>
      </c>
      <c r="U26" s="8">
        <f>S26/$E$26/86400</f>
        <v>1.4071595369896077E-6</v>
      </c>
      <c r="V26" s="8">
        <v>4476</v>
      </c>
      <c r="W26" s="8">
        <v>89.56</v>
      </c>
      <c r="X26" s="8">
        <f>V26/$E$26/86400</f>
        <v>1.1537728682112995E-6</v>
      </c>
    </row>
    <row r="27" spans="1:27" x14ac:dyDescent="0.35">
      <c r="A27" t="s">
        <v>61</v>
      </c>
      <c r="B27" t="s">
        <v>37</v>
      </c>
      <c r="C27" t="s">
        <v>50</v>
      </c>
      <c r="D27">
        <v>6.4928E-2</v>
      </c>
      <c r="E27" s="1">
        <v>44592</v>
      </c>
      <c r="F27">
        <v>1.0919328703703706</v>
      </c>
      <c r="G27" s="8">
        <v>125000</v>
      </c>
      <c r="H27" s="8">
        <v>1288</v>
      </c>
      <c r="I27">
        <v>1.3249525666981121</v>
      </c>
      <c r="J27" s="8">
        <v>188700</v>
      </c>
      <c r="K27" s="8">
        <v>469.7</v>
      </c>
      <c r="L27">
        <v>2.0001483946874701</v>
      </c>
      <c r="M27" s="8">
        <v>671300</v>
      </c>
      <c r="N27" s="8">
        <v>1412</v>
      </c>
      <c r="O27">
        <v>7.1155252641955418</v>
      </c>
      <c r="P27" s="8">
        <v>466200</v>
      </c>
      <c r="Q27" s="8">
        <v>690.3</v>
      </c>
      <c r="R27">
        <v>4.9415430927572794</v>
      </c>
      <c r="S27" s="8">
        <v>99070</v>
      </c>
      <c r="T27" s="8">
        <v>326.8</v>
      </c>
      <c r="U27">
        <v>1.0501044062622558</v>
      </c>
      <c r="V27" s="8">
        <v>86170</v>
      </c>
      <c r="W27" s="8">
        <v>297.60000000000002</v>
      </c>
      <c r="X27">
        <v>0.91336930137901062</v>
      </c>
    </row>
    <row r="28" spans="1:27" x14ac:dyDescent="0.35">
      <c r="A28" t="s">
        <v>62</v>
      </c>
      <c r="B28" t="s">
        <v>37</v>
      </c>
      <c r="C28" t="s">
        <v>50</v>
      </c>
      <c r="D28">
        <v>6.4928E-2</v>
      </c>
      <c r="E28" s="1">
        <v>44608</v>
      </c>
      <c r="F28">
        <v>0.11574074074074074</v>
      </c>
      <c r="G28" s="8">
        <v>16810</v>
      </c>
      <c r="H28" s="8">
        <v>486.8</v>
      </c>
      <c r="I28">
        <v>1.681</v>
      </c>
      <c r="J28" s="8">
        <v>25280</v>
      </c>
      <c r="K28" s="8">
        <v>568</v>
      </c>
      <c r="L28">
        <v>2.528</v>
      </c>
      <c r="M28" s="8">
        <v>94090</v>
      </c>
      <c r="N28" s="8">
        <v>528</v>
      </c>
      <c r="O28">
        <v>9.4090000000000007</v>
      </c>
      <c r="P28" s="8">
        <v>67770</v>
      </c>
      <c r="Q28" s="8">
        <v>262.5</v>
      </c>
      <c r="R28">
        <v>6.7770000000000001</v>
      </c>
      <c r="S28" s="8">
        <v>14390</v>
      </c>
      <c r="T28" s="8">
        <v>124.4</v>
      </c>
      <c r="U28">
        <v>1.4390000000000001</v>
      </c>
      <c r="V28" s="8">
        <v>12340</v>
      </c>
      <c r="W28" s="8">
        <v>112.7</v>
      </c>
      <c r="X28">
        <v>1.234</v>
      </c>
    </row>
    <row r="30" spans="1:27" ht="15" thickBot="1" x14ac:dyDescent="0.4">
      <c r="F30">
        <f>F21*86400</f>
        <v>172906.00000000003</v>
      </c>
      <c r="G30" t="s">
        <v>18</v>
      </c>
      <c r="H30" t="s">
        <v>24</v>
      </c>
      <c r="J30" t="s">
        <v>1</v>
      </c>
      <c r="K30" t="s">
        <v>23</v>
      </c>
      <c r="M30" t="s">
        <v>19</v>
      </c>
      <c r="N30" t="s">
        <v>41</v>
      </c>
      <c r="P30" t="s">
        <v>63</v>
      </c>
      <c r="Q30" t="s">
        <v>64</v>
      </c>
      <c r="S30" t="s">
        <v>65</v>
      </c>
      <c r="T30" t="s">
        <v>66</v>
      </c>
      <c r="V30" t="s">
        <v>21</v>
      </c>
      <c r="W30" t="s">
        <v>42</v>
      </c>
      <c r="Y30" t="s">
        <v>44</v>
      </c>
      <c r="Z30" t="s">
        <v>45</v>
      </c>
    </row>
    <row r="31" spans="1:27" ht="15" thickBot="1" x14ac:dyDescent="0.4">
      <c r="A31" s="13" t="s">
        <v>30</v>
      </c>
      <c r="B31" s="13" t="s">
        <v>29</v>
      </c>
      <c r="C31" s="13" t="s">
        <v>31</v>
      </c>
      <c r="D31" s="13" t="s">
        <v>27</v>
      </c>
      <c r="E31" s="13" t="s">
        <v>25</v>
      </c>
      <c r="F31" s="25" t="s">
        <v>28</v>
      </c>
      <c r="G31" t="s">
        <v>53</v>
      </c>
      <c r="H31" t="s">
        <v>54</v>
      </c>
      <c r="I31" t="s">
        <v>55</v>
      </c>
      <c r="J31" t="s">
        <v>53</v>
      </c>
      <c r="K31" t="s">
        <v>54</v>
      </c>
      <c r="L31" t="s">
        <v>55</v>
      </c>
      <c r="M31" t="s">
        <v>53</v>
      </c>
      <c r="N31" t="s">
        <v>54</v>
      </c>
      <c r="O31" t="s">
        <v>55</v>
      </c>
      <c r="P31" t="s">
        <v>53</v>
      </c>
      <c r="Q31" t="s">
        <v>54</v>
      </c>
      <c r="R31" t="s">
        <v>55</v>
      </c>
      <c r="S31" t="s">
        <v>53</v>
      </c>
      <c r="T31" t="s">
        <v>54</v>
      </c>
      <c r="U31" t="s">
        <v>55</v>
      </c>
      <c r="V31" t="s">
        <v>53</v>
      </c>
      <c r="W31" t="s">
        <v>54</v>
      </c>
      <c r="X31" t="s">
        <v>55</v>
      </c>
      <c r="Y31" t="s">
        <v>53</v>
      </c>
      <c r="Z31" t="s">
        <v>54</v>
      </c>
      <c r="AA31" t="s">
        <v>55</v>
      </c>
    </row>
    <row r="32" spans="1:27" ht="15" thickBot="1" x14ac:dyDescent="0.4">
      <c r="A32" s="10" t="s">
        <v>52</v>
      </c>
      <c r="B32" s="11" t="s">
        <v>37</v>
      </c>
      <c r="C32" s="11" t="s">
        <v>50</v>
      </c>
      <c r="D32" s="11">
        <v>4.0795999999999999E-2</v>
      </c>
      <c r="E32" s="20">
        <v>44893</v>
      </c>
      <c r="F32" s="26">
        <v>2.0012268518518521</v>
      </c>
      <c r="I32">
        <v>0</v>
      </c>
      <c r="J32" s="8">
        <v>1442</v>
      </c>
      <c r="K32" s="8">
        <v>75.23</v>
      </c>
      <c r="L32">
        <v>8.3397915630458175E-3</v>
      </c>
      <c r="M32" s="8">
        <v>3016</v>
      </c>
      <c r="N32" s="8">
        <v>69.94</v>
      </c>
      <c r="O32">
        <v>1.7443003713000126E-2</v>
      </c>
      <c r="P32" s="8">
        <v>540.9</v>
      </c>
      <c r="Q32" s="8">
        <v>31.39</v>
      </c>
      <c r="R32">
        <v>3.1282893595363953E-3</v>
      </c>
      <c r="U32">
        <v>0</v>
      </c>
      <c r="V32" s="8">
        <v>4362</v>
      </c>
      <c r="W32" s="8">
        <v>255.6</v>
      </c>
      <c r="X32">
        <v>2.5227580303748859E-2</v>
      </c>
      <c r="Y32" s="8">
        <v>2117</v>
      </c>
      <c r="Z32" s="8">
        <v>272.3</v>
      </c>
      <c r="AA32">
        <v>1.2243646837009705E-2</v>
      </c>
    </row>
    <row r="33" spans="1:27" x14ac:dyDescent="0.35">
      <c r="A33" t="s">
        <v>56</v>
      </c>
      <c r="B33" t="s">
        <v>37</v>
      </c>
      <c r="C33" t="s">
        <v>50</v>
      </c>
      <c r="D33">
        <v>1</v>
      </c>
      <c r="E33" s="1">
        <v>44608</v>
      </c>
      <c r="F33">
        <v>0.11574074074074074</v>
      </c>
      <c r="I33">
        <v>0</v>
      </c>
      <c r="J33" s="8">
        <v>7500</v>
      </c>
      <c r="K33" s="8">
        <v>88.77</v>
      </c>
      <c r="L33">
        <v>0.75</v>
      </c>
      <c r="M33" s="8">
        <v>23850</v>
      </c>
      <c r="N33" s="8">
        <v>155.6</v>
      </c>
      <c r="O33">
        <v>2.3849999999999998</v>
      </c>
      <c r="P33" s="8">
        <v>4930</v>
      </c>
      <c r="Q33" s="8">
        <v>72.83</v>
      </c>
      <c r="R33">
        <v>0.49299999999999999</v>
      </c>
      <c r="S33" s="8">
        <v>3954</v>
      </c>
      <c r="T33" s="8">
        <v>63.79</v>
      </c>
      <c r="U33">
        <v>0.39539999999999997</v>
      </c>
      <c r="V33" s="8">
        <v>32060</v>
      </c>
      <c r="W33" s="8">
        <v>317.2</v>
      </c>
      <c r="X33">
        <v>3.206</v>
      </c>
      <c r="Y33" s="8">
        <v>7652</v>
      </c>
      <c r="Z33" s="8">
        <v>95.37</v>
      </c>
      <c r="AA33">
        <v>0.76519999999999999</v>
      </c>
    </row>
    <row r="34" spans="1:27" x14ac:dyDescent="0.35">
      <c r="A34" t="s">
        <v>60</v>
      </c>
      <c r="B34" t="s">
        <v>37</v>
      </c>
      <c r="C34" t="s">
        <v>50</v>
      </c>
      <c r="D34">
        <v>5.7541000000000002E-2</v>
      </c>
      <c r="E34" s="1">
        <v>44901</v>
      </c>
      <c r="F34">
        <v>0.11574074074074074</v>
      </c>
      <c r="I34">
        <v>0</v>
      </c>
      <c r="J34" s="8">
        <v>2025</v>
      </c>
      <c r="K34" s="8">
        <v>79.38</v>
      </c>
      <c r="L34">
        <v>0.20250000000000001</v>
      </c>
      <c r="O34">
        <v>0</v>
      </c>
      <c r="R34">
        <v>0</v>
      </c>
      <c r="U34">
        <v>0</v>
      </c>
      <c r="X34">
        <v>0</v>
      </c>
      <c r="Y34" s="8">
        <v>6128</v>
      </c>
      <c r="Z34" s="8">
        <v>97.98</v>
      </c>
      <c r="AA34">
        <v>0.61280000000000001</v>
      </c>
    </row>
    <row r="35" spans="1:27" x14ac:dyDescent="0.35">
      <c r="A35" t="s">
        <v>58</v>
      </c>
      <c r="B35" t="s">
        <v>37</v>
      </c>
      <c r="C35" t="s">
        <v>50</v>
      </c>
      <c r="D35">
        <v>5.7541000000000002E-2</v>
      </c>
      <c r="E35" s="1">
        <v>44594</v>
      </c>
      <c r="F35">
        <v>1.1574074074074074</v>
      </c>
      <c r="G35" s="8">
        <v>185800</v>
      </c>
      <c r="H35" s="8">
        <v>433.1</v>
      </c>
      <c r="I35">
        <v>1.8580000000000001</v>
      </c>
      <c r="L35">
        <v>0</v>
      </c>
      <c r="O35">
        <v>0</v>
      </c>
      <c r="R35">
        <v>0</v>
      </c>
      <c r="S35" s="8">
        <v>26.05</v>
      </c>
      <c r="T35" s="8">
        <v>11.95</v>
      </c>
      <c r="U35">
        <v>2.6049999999999999E-4</v>
      </c>
      <c r="X35">
        <v>0</v>
      </c>
      <c r="AA35">
        <v>0</v>
      </c>
    </row>
    <row r="36" spans="1:27" x14ac:dyDescent="0.35">
      <c r="A36" t="s">
        <v>59</v>
      </c>
      <c r="B36" t="s">
        <v>37</v>
      </c>
      <c r="C36" t="s">
        <v>50</v>
      </c>
      <c r="D36">
        <v>5.0090000000000003E-2</v>
      </c>
      <c r="E36" s="1">
        <v>44596</v>
      </c>
      <c r="F36">
        <v>1.1574074074074074</v>
      </c>
      <c r="I36">
        <v>0</v>
      </c>
      <c r="J36" s="8">
        <v>1552</v>
      </c>
      <c r="K36" s="8">
        <v>145.5</v>
      </c>
      <c r="L36">
        <v>1.5520000000000001E-2</v>
      </c>
      <c r="M36" s="8">
        <v>5861</v>
      </c>
      <c r="N36" s="8">
        <v>130.6</v>
      </c>
      <c r="O36">
        <v>5.8610000000000002E-2</v>
      </c>
      <c r="R36">
        <v>0</v>
      </c>
      <c r="U36">
        <v>0</v>
      </c>
      <c r="V36" s="8">
        <v>8576</v>
      </c>
      <c r="W36" s="8">
        <v>465.7</v>
      </c>
      <c r="X36">
        <v>8.5760000000000003E-2</v>
      </c>
      <c r="Y36" s="8">
        <v>3535</v>
      </c>
      <c r="Z36" s="8">
        <v>645.5</v>
      </c>
      <c r="AA36">
        <v>3.5349999999999999E-2</v>
      </c>
    </row>
    <row r="37" spans="1:27" x14ac:dyDescent="0.35">
      <c r="A37" t="s">
        <v>57</v>
      </c>
      <c r="B37" t="s">
        <v>37</v>
      </c>
      <c r="C37" t="s">
        <v>50</v>
      </c>
      <c r="D37">
        <v>5.0090000000000003E-2</v>
      </c>
      <c r="E37" s="1">
        <v>44901</v>
      </c>
      <c r="F37">
        <v>0.11574074074074074</v>
      </c>
      <c r="I37">
        <v>0</v>
      </c>
      <c r="J37" s="8">
        <v>3295</v>
      </c>
      <c r="K37" s="8">
        <v>103.5</v>
      </c>
      <c r="L37">
        <v>0.32950000000000002</v>
      </c>
      <c r="O37">
        <v>0</v>
      </c>
      <c r="R37">
        <v>0</v>
      </c>
      <c r="U37">
        <v>0</v>
      </c>
      <c r="X37">
        <v>0</v>
      </c>
      <c r="Y37" s="8">
        <v>6547</v>
      </c>
      <c r="Z37" s="8">
        <v>114.7</v>
      </c>
      <c r="AA37">
        <v>0.65469999999999995</v>
      </c>
    </row>
    <row r="38" spans="1:27" x14ac:dyDescent="0.35">
      <c r="A38" t="s">
        <v>61</v>
      </c>
      <c r="B38" t="s">
        <v>37</v>
      </c>
      <c r="C38" t="s">
        <v>50</v>
      </c>
      <c r="D38">
        <v>6.4928E-2</v>
      </c>
      <c r="E38" s="1">
        <v>44592</v>
      </c>
      <c r="F38">
        <v>1.0919328703703706</v>
      </c>
      <c r="I38">
        <v>0</v>
      </c>
      <c r="J38" s="8">
        <v>125000</v>
      </c>
      <c r="K38" s="8">
        <v>1288</v>
      </c>
      <c r="L38">
        <v>1.3249525666981121</v>
      </c>
      <c r="M38" s="8">
        <v>466200</v>
      </c>
      <c r="N38" s="8">
        <v>690.3</v>
      </c>
      <c r="O38">
        <v>4.9415430927572794</v>
      </c>
      <c r="P38" s="8">
        <v>99070</v>
      </c>
      <c r="Q38" s="8">
        <v>326.8</v>
      </c>
      <c r="R38">
        <v>1.0501044062622558</v>
      </c>
      <c r="S38" s="8">
        <v>86170</v>
      </c>
      <c r="T38" s="8">
        <v>297.60000000000002</v>
      </c>
      <c r="U38">
        <v>0.91336930137901062</v>
      </c>
      <c r="V38" s="8">
        <v>671300</v>
      </c>
      <c r="W38" s="8">
        <v>1412</v>
      </c>
      <c r="X38">
        <v>7.1155252641955418</v>
      </c>
      <c r="Y38" s="8">
        <v>188700</v>
      </c>
      <c r="Z38" s="8">
        <v>469.7</v>
      </c>
      <c r="AA38">
        <v>2.0001483946874701</v>
      </c>
    </row>
    <row r="39" spans="1:27" x14ac:dyDescent="0.35">
      <c r="A39" t="s">
        <v>62</v>
      </c>
      <c r="B39" t="s">
        <v>37</v>
      </c>
      <c r="C39" t="s">
        <v>50</v>
      </c>
      <c r="D39">
        <v>6.4928E-2</v>
      </c>
      <c r="E39" s="1">
        <v>44608</v>
      </c>
      <c r="F39">
        <v>0.11574074074074074</v>
      </c>
      <c r="I39">
        <v>0</v>
      </c>
      <c r="J39" s="8">
        <v>16810</v>
      </c>
      <c r="K39" s="8">
        <v>486.8</v>
      </c>
      <c r="L39">
        <v>1.681</v>
      </c>
      <c r="M39" s="8">
        <v>67770</v>
      </c>
      <c r="N39" s="8">
        <v>262.5</v>
      </c>
      <c r="O39">
        <v>6.7770000000000001</v>
      </c>
      <c r="P39" s="8">
        <v>14390</v>
      </c>
      <c r="Q39" s="8">
        <v>124.4</v>
      </c>
      <c r="R39">
        <v>1.4390000000000001</v>
      </c>
      <c r="S39" s="8">
        <v>12340</v>
      </c>
      <c r="T39" s="8">
        <v>112.7</v>
      </c>
      <c r="U39">
        <v>1.234</v>
      </c>
      <c r="V39" s="8">
        <v>94090</v>
      </c>
      <c r="W39" s="8">
        <v>528</v>
      </c>
      <c r="X39">
        <v>9.4090000000000007</v>
      </c>
      <c r="Y39" s="8">
        <v>25280</v>
      </c>
      <c r="Z39" s="8">
        <v>568</v>
      </c>
      <c r="AA39">
        <v>2.528</v>
      </c>
    </row>
    <row r="40" spans="1:27" x14ac:dyDescent="0.35">
      <c r="A40" t="s">
        <v>67</v>
      </c>
      <c r="B40" t="s">
        <v>37</v>
      </c>
      <c r="C40" t="s">
        <v>50</v>
      </c>
      <c r="D40">
        <v>2.6936000000000002E-2</v>
      </c>
      <c r="E40" s="1">
        <v>44895</v>
      </c>
      <c r="F40">
        <v>1.0596064814814814</v>
      </c>
      <c r="I40">
        <v>0</v>
      </c>
      <c r="J40" s="8">
        <v>2212</v>
      </c>
      <c r="K40" s="8">
        <v>72.89</v>
      </c>
      <c r="L40">
        <v>2.4161660294920808E-2</v>
      </c>
      <c r="M40" s="8">
        <v>2082</v>
      </c>
      <c r="N40" s="8">
        <v>54.25</v>
      </c>
      <c r="O40">
        <v>2.2741671217913709E-2</v>
      </c>
      <c r="R40">
        <v>0</v>
      </c>
      <c r="U40">
        <v>0</v>
      </c>
      <c r="V40" s="8">
        <v>2790</v>
      </c>
      <c r="W40" s="8">
        <v>87.71</v>
      </c>
      <c r="X40">
        <v>3.0475150191152375E-2</v>
      </c>
      <c r="Y40" s="8">
        <v>1289</v>
      </c>
      <c r="Z40" s="8">
        <v>224.7</v>
      </c>
      <c r="AA40">
        <v>1.4079737848170399E-2</v>
      </c>
    </row>
    <row r="42" spans="1:27" ht="15" thickBot="1" x14ac:dyDescent="0.4">
      <c r="G42" t="s">
        <v>1</v>
      </c>
      <c r="H42" t="s">
        <v>23</v>
      </c>
      <c r="J42" t="s">
        <v>44</v>
      </c>
      <c r="K42" t="s">
        <v>45</v>
      </c>
      <c r="M42" t="s">
        <v>21</v>
      </c>
      <c r="N42" t="s">
        <v>42</v>
      </c>
      <c r="P42" t="s">
        <v>19</v>
      </c>
      <c r="Q42" t="s">
        <v>41</v>
      </c>
      <c r="S42" t="s">
        <v>63</v>
      </c>
      <c r="T42" t="s">
        <v>64</v>
      </c>
      <c r="V42" t="s">
        <v>65</v>
      </c>
      <c r="W42" t="s">
        <v>66</v>
      </c>
    </row>
    <row r="43" spans="1:27" ht="15" thickBot="1" x14ac:dyDescent="0.4">
      <c r="A43" s="13" t="s">
        <v>30</v>
      </c>
      <c r="B43" s="13" t="s">
        <v>29</v>
      </c>
      <c r="C43" s="13" t="s">
        <v>31</v>
      </c>
      <c r="D43" s="13" t="s">
        <v>27</v>
      </c>
      <c r="E43" s="13" t="s">
        <v>25</v>
      </c>
      <c r="F43" s="25" t="s">
        <v>28</v>
      </c>
      <c r="G43" t="s">
        <v>53</v>
      </c>
      <c r="H43" t="s">
        <v>54</v>
      </c>
      <c r="I43" t="s">
        <v>55</v>
      </c>
      <c r="J43" t="s">
        <v>53</v>
      </c>
      <c r="K43" t="s">
        <v>54</v>
      </c>
      <c r="L43" t="s">
        <v>55</v>
      </c>
      <c r="M43" t="s">
        <v>53</v>
      </c>
      <c r="N43" t="s">
        <v>54</v>
      </c>
      <c r="O43" t="s">
        <v>55</v>
      </c>
      <c r="P43" t="s">
        <v>53</v>
      </c>
      <c r="Q43" t="s">
        <v>54</v>
      </c>
      <c r="R43" t="s">
        <v>55</v>
      </c>
      <c r="S43" t="s">
        <v>53</v>
      </c>
      <c r="T43" t="s">
        <v>54</v>
      </c>
      <c r="U43" t="s">
        <v>55</v>
      </c>
      <c r="V43" t="s">
        <v>53</v>
      </c>
      <c r="W43" t="s">
        <v>54</v>
      </c>
      <c r="X43" t="s">
        <v>55</v>
      </c>
    </row>
    <row r="44" spans="1:27" ht="15" thickBot="1" x14ac:dyDescent="0.4">
      <c r="A44" s="10" t="s">
        <v>52</v>
      </c>
      <c r="B44" s="11" t="s">
        <v>37</v>
      </c>
      <c r="C44" s="11" t="s">
        <v>50</v>
      </c>
      <c r="D44" s="11">
        <v>4.0795999999999999E-2</v>
      </c>
      <c r="E44" s="20">
        <v>44893</v>
      </c>
      <c r="F44" s="26">
        <v>2.0012268518518521</v>
      </c>
      <c r="G44" s="8">
        <v>1442</v>
      </c>
      <c r="H44" s="8">
        <v>75.23</v>
      </c>
      <c r="I44">
        <v>8.3397915630458175E-3</v>
      </c>
      <c r="J44" s="8">
        <v>2117</v>
      </c>
      <c r="K44" s="8">
        <v>272.3</v>
      </c>
      <c r="L44">
        <v>1.2243646837009705E-2</v>
      </c>
      <c r="M44" s="8">
        <v>4362</v>
      </c>
      <c r="N44" s="8">
        <v>255.6</v>
      </c>
      <c r="O44">
        <v>2.5227580303748859E-2</v>
      </c>
      <c r="P44" s="8">
        <v>3016</v>
      </c>
      <c r="Q44" s="8">
        <v>69.94</v>
      </c>
      <c r="R44">
        <v>1.7443003713000126E-2</v>
      </c>
      <c r="S44" s="8">
        <v>540.9</v>
      </c>
      <c r="T44" s="8">
        <v>31.39</v>
      </c>
      <c r="U44">
        <v>3.1282893595363953E-3</v>
      </c>
      <c r="X44">
        <v>0</v>
      </c>
    </row>
    <row r="45" spans="1:27" x14ac:dyDescent="0.35">
      <c r="A45" t="s">
        <v>56</v>
      </c>
      <c r="B45" t="s">
        <v>37</v>
      </c>
      <c r="C45" t="s">
        <v>50</v>
      </c>
      <c r="D45">
        <v>1</v>
      </c>
      <c r="E45" s="1">
        <v>44608</v>
      </c>
      <c r="F45">
        <v>0.11574074074074074</v>
      </c>
      <c r="G45" s="8">
        <v>7500</v>
      </c>
      <c r="H45" s="8">
        <v>88.77</v>
      </c>
      <c r="I45">
        <v>0.75</v>
      </c>
      <c r="J45" s="8">
        <v>7652</v>
      </c>
      <c r="K45" s="8">
        <v>95.37</v>
      </c>
      <c r="L45">
        <v>0.76519999999999999</v>
      </c>
      <c r="M45" s="8">
        <v>32060</v>
      </c>
      <c r="N45" s="8">
        <v>317.2</v>
      </c>
      <c r="O45">
        <v>3.206</v>
      </c>
      <c r="P45" s="8">
        <v>23850</v>
      </c>
      <c r="Q45" s="8">
        <v>155.6</v>
      </c>
      <c r="R45">
        <v>2.3849999999999998</v>
      </c>
      <c r="S45" s="8">
        <v>4930</v>
      </c>
      <c r="T45" s="8">
        <v>72.83</v>
      </c>
      <c r="U45">
        <v>0.49299999999999999</v>
      </c>
      <c r="V45" s="8">
        <v>3954</v>
      </c>
      <c r="W45" s="8">
        <v>63.79</v>
      </c>
      <c r="X45">
        <v>0.39539999999999997</v>
      </c>
    </row>
    <row r="46" spans="1:27" x14ac:dyDescent="0.35">
      <c r="A46" t="s">
        <v>60</v>
      </c>
      <c r="B46" t="s">
        <v>37</v>
      </c>
      <c r="C46" t="s">
        <v>50</v>
      </c>
      <c r="D46">
        <v>5.7541000000000002E-2</v>
      </c>
      <c r="E46" s="1">
        <v>44901</v>
      </c>
      <c r="F46">
        <v>0.11574074074074074</v>
      </c>
      <c r="G46" s="8">
        <v>2025</v>
      </c>
      <c r="H46" s="8">
        <v>79.38</v>
      </c>
      <c r="I46">
        <v>0.20250000000000001</v>
      </c>
      <c r="J46" s="8">
        <v>6128</v>
      </c>
      <c r="K46" s="8">
        <v>97.98</v>
      </c>
      <c r="L46">
        <v>0.61280000000000001</v>
      </c>
      <c r="O46">
        <v>0</v>
      </c>
      <c r="R46">
        <v>0</v>
      </c>
      <c r="U46">
        <v>0</v>
      </c>
      <c r="X46">
        <v>0</v>
      </c>
    </row>
    <row r="47" spans="1:27" x14ac:dyDescent="0.35">
      <c r="A47" t="s">
        <v>58</v>
      </c>
      <c r="B47" t="s">
        <v>37</v>
      </c>
      <c r="C47" t="s">
        <v>50</v>
      </c>
      <c r="D47">
        <v>5.7541000000000002E-2</v>
      </c>
      <c r="E47" s="1">
        <v>44594</v>
      </c>
      <c r="F47">
        <v>1.1574074074074074</v>
      </c>
      <c r="I47">
        <v>0</v>
      </c>
      <c r="L47">
        <v>0</v>
      </c>
      <c r="O47">
        <v>0</v>
      </c>
      <c r="R47">
        <v>0</v>
      </c>
      <c r="U47">
        <v>0</v>
      </c>
      <c r="V47" s="8">
        <v>26.05</v>
      </c>
      <c r="W47" s="8">
        <v>11.95</v>
      </c>
      <c r="X47">
        <v>2.6049999999999999E-4</v>
      </c>
    </row>
    <row r="48" spans="1:27" x14ac:dyDescent="0.35">
      <c r="A48" t="s">
        <v>59</v>
      </c>
      <c r="B48" t="s">
        <v>37</v>
      </c>
      <c r="C48" t="s">
        <v>50</v>
      </c>
      <c r="D48">
        <v>5.0090000000000003E-2</v>
      </c>
      <c r="E48" s="1">
        <v>44596</v>
      </c>
      <c r="F48">
        <v>1.1574074074074074</v>
      </c>
      <c r="G48" s="8">
        <v>1552</v>
      </c>
      <c r="H48" s="8">
        <v>145.5</v>
      </c>
      <c r="I48">
        <v>1.5520000000000001E-2</v>
      </c>
      <c r="J48" s="8">
        <v>3535</v>
      </c>
      <c r="K48" s="8">
        <v>645.5</v>
      </c>
      <c r="L48">
        <v>3.5349999999999999E-2</v>
      </c>
      <c r="M48" s="8">
        <v>8576</v>
      </c>
      <c r="N48" s="8">
        <v>465.7</v>
      </c>
      <c r="O48">
        <v>8.5760000000000003E-2</v>
      </c>
      <c r="P48" s="8">
        <v>5861</v>
      </c>
      <c r="Q48" s="8">
        <v>130.6</v>
      </c>
      <c r="R48">
        <v>5.8610000000000002E-2</v>
      </c>
      <c r="U48">
        <v>0</v>
      </c>
      <c r="X48">
        <v>0</v>
      </c>
    </row>
    <row r="49" spans="1:27" x14ac:dyDescent="0.35">
      <c r="A49" t="s">
        <v>57</v>
      </c>
      <c r="B49" t="s">
        <v>37</v>
      </c>
      <c r="C49" t="s">
        <v>50</v>
      </c>
      <c r="D49">
        <v>5.0090000000000003E-2</v>
      </c>
      <c r="E49" s="1">
        <v>44901</v>
      </c>
      <c r="F49">
        <v>0.11574074074074074</v>
      </c>
      <c r="G49" s="8">
        <v>3295</v>
      </c>
      <c r="H49" s="8">
        <v>103.5</v>
      </c>
      <c r="I49">
        <v>0.32950000000000002</v>
      </c>
      <c r="J49" s="8">
        <v>6547</v>
      </c>
      <c r="K49" s="8">
        <v>114.7</v>
      </c>
      <c r="L49">
        <v>0.65469999999999995</v>
      </c>
      <c r="O49">
        <v>0</v>
      </c>
      <c r="R49">
        <v>0</v>
      </c>
      <c r="U49">
        <v>0</v>
      </c>
      <c r="X49">
        <v>0</v>
      </c>
    </row>
    <row r="50" spans="1:27" x14ac:dyDescent="0.35">
      <c r="A50" t="s">
        <v>61</v>
      </c>
      <c r="B50" t="s">
        <v>37</v>
      </c>
      <c r="C50" t="s">
        <v>50</v>
      </c>
      <c r="D50">
        <v>6.4928E-2</v>
      </c>
      <c r="E50" s="1">
        <v>44592</v>
      </c>
      <c r="F50">
        <v>1.0919328703703706</v>
      </c>
      <c r="G50" s="8">
        <v>125000</v>
      </c>
      <c r="H50" s="8">
        <v>1288</v>
      </c>
      <c r="I50">
        <v>1.3249525666981121</v>
      </c>
      <c r="J50" s="8">
        <v>188700</v>
      </c>
      <c r="K50" s="8">
        <v>469.7</v>
      </c>
      <c r="L50">
        <v>2.0001483946874701</v>
      </c>
      <c r="M50" s="8">
        <v>671300</v>
      </c>
      <c r="N50" s="8">
        <v>1412</v>
      </c>
      <c r="O50">
        <v>7.1155252641955418</v>
      </c>
      <c r="P50" s="8">
        <v>466200</v>
      </c>
      <c r="Q50" s="8">
        <v>690.3</v>
      </c>
      <c r="R50">
        <v>4.9415430927572794</v>
      </c>
      <c r="S50" s="8">
        <v>99070</v>
      </c>
      <c r="T50" s="8">
        <v>326.8</v>
      </c>
      <c r="U50">
        <v>1.0501044062622558</v>
      </c>
      <c r="V50" s="8">
        <v>86170</v>
      </c>
      <c r="W50" s="8">
        <v>297.60000000000002</v>
      </c>
      <c r="X50">
        <v>0.91336930137901062</v>
      </c>
    </row>
    <row r="51" spans="1:27" x14ac:dyDescent="0.35">
      <c r="A51" t="s">
        <v>62</v>
      </c>
      <c r="B51" t="s">
        <v>37</v>
      </c>
      <c r="C51" t="s">
        <v>50</v>
      </c>
      <c r="D51">
        <v>6.4928E-2</v>
      </c>
      <c r="E51" s="1">
        <v>44608</v>
      </c>
      <c r="F51">
        <v>0.11574074074074074</v>
      </c>
      <c r="G51" s="8">
        <v>16810</v>
      </c>
      <c r="H51" s="8">
        <v>486.8</v>
      </c>
      <c r="I51">
        <v>1.681</v>
      </c>
      <c r="J51" s="8">
        <v>25280</v>
      </c>
      <c r="K51" s="8">
        <v>568</v>
      </c>
      <c r="L51">
        <v>2.528</v>
      </c>
      <c r="M51" s="8">
        <v>94090</v>
      </c>
      <c r="N51" s="8">
        <v>528</v>
      </c>
      <c r="O51">
        <v>9.4090000000000007</v>
      </c>
      <c r="P51" s="8">
        <v>67770</v>
      </c>
      <c r="Q51" s="8">
        <v>262.5</v>
      </c>
      <c r="R51">
        <v>6.7770000000000001</v>
      </c>
      <c r="S51" s="8">
        <v>14390</v>
      </c>
      <c r="T51" s="8">
        <v>124.4</v>
      </c>
      <c r="U51">
        <v>1.4390000000000001</v>
      </c>
      <c r="V51" s="8">
        <v>12340</v>
      </c>
      <c r="W51" s="8">
        <v>112.7</v>
      </c>
      <c r="X51">
        <v>1.234</v>
      </c>
    </row>
    <row r="52" spans="1:27" x14ac:dyDescent="0.35">
      <c r="A52" t="s">
        <v>67</v>
      </c>
      <c r="B52" t="s">
        <v>37</v>
      </c>
      <c r="C52" t="s">
        <v>50</v>
      </c>
      <c r="D52">
        <v>2.6936000000000002E-2</v>
      </c>
      <c r="E52" s="1">
        <v>44895</v>
      </c>
      <c r="F52">
        <v>1.0596064814814814</v>
      </c>
      <c r="G52" s="8">
        <v>2212</v>
      </c>
      <c r="H52" s="8">
        <v>72.89</v>
      </c>
      <c r="I52">
        <v>2.4161660294920808E-2</v>
      </c>
      <c r="J52" s="8">
        <v>1289</v>
      </c>
      <c r="K52" s="8">
        <v>224.7</v>
      </c>
      <c r="L52">
        <v>1.4079737848170399E-2</v>
      </c>
      <c r="M52" s="8">
        <v>2790</v>
      </c>
      <c r="N52" s="8">
        <v>87.71</v>
      </c>
      <c r="O52">
        <v>3.0475150191152375E-2</v>
      </c>
      <c r="P52" s="8">
        <v>2082</v>
      </c>
      <c r="Q52" s="8">
        <v>54.25</v>
      </c>
      <c r="R52">
        <v>2.2741671217913709E-2</v>
      </c>
      <c r="S52" s="8">
        <v>363</v>
      </c>
      <c r="U52">
        <v>0</v>
      </c>
      <c r="V52" s="8">
        <v>163.1</v>
      </c>
      <c r="X52">
        <v>0</v>
      </c>
    </row>
    <row r="53" spans="1:27" x14ac:dyDescent="0.35">
      <c r="A53" t="s">
        <v>68</v>
      </c>
      <c r="B53" t="s">
        <v>37</v>
      </c>
      <c r="C53" t="s">
        <v>50</v>
      </c>
      <c r="D53">
        <v>2.6936000000000002E-2</v>
      </c>
      <c r="E53" s="1">
        <v>44900</v>
      </c>
      <c r="F53">
        <v>0.11574074074074074</v>
      </c>
      <c r="G53" s="8">
        <v>4690</v>
      </c>
      <c r="H53" s="8">
        <v>246.8</v>
      </c>
      <c r="I53">
        <v>0.46899999999999997</v>
      </c>
      <c r="J53" s="8">
        <v>6979</v>
      </c>
      <c r="K53" s="8">
        <v>257.8</v>
      </c>
      <c r="L53">
        <v>0.69789999999999996</v>
      </c>
      <c r="M53" s="8">
        <v>34290</v>
      </c>
      <c r="O53">
        <v>0</v>
      </c>
      <c r="P53" s="8">
        <v>26140</v>
      </c>
      <c r="R53">
        <v>0</v>
      </c>
      <c r="S53" s="8">
        <v>5521</v>
      </c>
      <c r="U53">
        <v>0</v>
      </c>
      <c r="V53" s="8">
        <v>4449</v>
      </c>
      <c r="X53">
        <v>0</v>
      </c>
    </row>
    <row r="55" spans="1:27" ht="15" thickBot="1" x14ac:dyDescent="0.4">
      <c r="G55" t="s">
        <v>18</v>
      </c>
      <c r="H55" t="s">
        <v>24</v>
      </c>
      <c r="J55" t="s">
        <v>1</v>
      </c>
      <c r="K55" t="s">
        <v>23</v>
      </c>
      <c r="M55" t="s">
        <v>19</v>
      </c>
      <c r="N55" t="s">
        <v>41</v>
      </c>
      <c r="P55" t="s">
        <v>63</v>
      </c>
      <c r="Q55" t="s">
        <v>64</v>
      </c>
      <c r="S55" t="s">
        <v>65</v>
      </c>
      <c r="T55" t="s">
        <v>66</v>
      </c>
      <c r="V55" t="s">
        <v>21</v>
      </c>
      <c r="W55" t="s">
        <v>42</v>
      </c>
      <c r="Y55" t="s">
        <v>44</v>
      </c>
      <c r="Z55" t="s">
        <v>45</v>
      </c>
    </row>
    <row r="56" spans="1:27" ht="15" thickBot="1" x14ac:dyDescent="0.4">
      <c r="A56" s="13" t="s">
        <v>30</v>
      </c>
      <c r="B56" s="13" t="s">
        <v>29</v>
      </c>
      <c r="C56" s="13" t="s">
        <v>31</v>
      </c>
      <c r="D56" s="13" t="s">
        <v>27</v>
      </c>
      <c r="E56" s="13" t="s">
        <v>25</v>
      </c>
      <c r="F56" s="25" t="s">
        <v>28</v>
      </c>
      <c r="G56" t="s">
        <v>53</v>
      </c>
      <c r="H56" t="s">
        <v>54</v>
      </c>
      <c r="I56" t="s">
        <v>55</v>
      </c>
      <c r="J56" t="s">
        <v>53</v>
      </c>
      <c r="K56" t="s">
        <v>54</v>
      </c>
      <c r="L56" t="s">
        <v>55</v>
      </c>
      <c r="M56" t="s">
        <v>53</v>
      </c>
      <c r="N56" t="s">
        <v>54</v>
      </c>
      <c r="O56" t="s">
        <v>55</v>
      </c>
      <c r="P56" t="s">
        <v>53</v>
      </c>
      <c r="Q56" t="s">
        <v>54</v>
      </c>
      <c r="R56" t="s">
        <v>55</v>
      </c>
      <c r="S56" t="s">
        <v>53</v>
      </c>
      <c r="T56" t="s">
        <v>54</v>
      </c>
      <c r="U56" t="s">
        <v>55</v>
      </c>
      <c r="V56" t="s">
        <v>53</v>
      </c>
      <c r="W56" t="s">
        <v>54</v>
      </c>
      <c r="X56" t="s">
        <v>55</v>
      </c>
      <c r="Y56" t="s">
        <v>53</v>
      </c>
      <c r="Z56" t="s">
        <v>54</v>
      </c>
      <c r="AA56" t="s">
        <v>55</v>
      </c>
    </row>
    <row r="57" spans="1:27" ht="15" thickBot="1" x14ac:dyDescent="0.4">
      <c r="A57" s="10" t="s">
        <v>52</v>
      </c>
      <c r="B57" s="11" t="s">
        <v>46</v>
      </c>
      <c r="C57" s="11" t="s">
        <v>49</v>
      </c>
      <c r="D57" s="11">
        <v>4.0795999999999999E-2</v>
      </c>
      <c r="E57" s="20">
        <v>44890</v>
      </c>
      <c r="F57" s="26">
        <v>2.7263773148148149</v>
      </c>
      <c r="G57" s="8">
        <v>5535</v>
      </c>
      <c r="H57" s="8">
        <v>142.80000000000001</v>
      </c>
      <c r="I57">
        <v>2.3497297916870084E-2</v>
      </c>
      <c r="J57" s="8">
        <v>547</v>
      </c>
      <c r="K57" s="8">
        <v>46.32</v>
      </c>
      <c r="L57">
        <v>2.3221358555606027E-3</v>
      </c>
      <c r="M57" s="8">
        <v>1835</v>
      </c>
      <c r="N57" s="8">
        <v>54.12</v>
      </c>
      <c r="O57">
        <v>7.7899804295314548E-3</v>
      </c>
      <c r="P57" s="8">
        <v>334.3</v>
      </c>
      <c r="Q57" s="8">
        <v>46.85</v>
      </c>
      <c r="R57">
        <v>1.4191773610857578E-3</v>
      </c>
      <c r="S57" s="8">
        <v>271.60000000000002</v>
      </c>
      <c r="T57" s="8">
        <v>20.32</v>
      </c>
      <c r="U57">
        <v>1.153002007989506E-3</v>
      </c>
      <c r="V57" s="8">
        <v>2453</v>
      </c>
      <c r="W57" s="8">
        <v>145.69999999999999</v>
      </c>
      <c r="X57">
        <v>1.0413526972011259E-2</v>
      </c>
      <c r="Y57" s="8">
        <v>489.1</v>
      </c>
      <c r="Z57" s="8">
        <v>96.7</v>
      </c>
      <c r="AA57">
        <v>2.0763375629884659E-3</v>
      </c>
    </row>
    <row r="58" spans="1:27" x14ac:dyDescent="0.35">
      <c r="A58" t="s">
        <v>69</v>
      </c>
      <c r="B58" t="s">
        <v>46</v>
      </c>
      <c r="C58" t="s">
        <v>49</v>
      </c>
      <c r="D58">
        <v>1</v>
      </c>
      <c r="E58" s="1">
        <v>44904</v>
      </c>
      <c r="F58">
        <v>0.11574074074074074</v>
      </c>
      <c r="G58" s="8">
        <v>196.4</v>
      </c>
      <c r="H58" s="8">
        <v>15.06</v>
      </c>
      <c r="I58">
        <v>1.9640000000000001E-2</v>
      </c>
      <c r="J58" s="8">
        <v>1223</v>
      </c>
      <c r="K58" s="8">
        <v>45.3</v>
      </c>
      <c r="L58">
        <v>0.12230000000000001</v>
      </c>
      <c r="M58" s="8">
        <v>11200</v>
      </c>
      <c r="N58" s="8">
        <v>98.33</v>
      </c>
      <c r="O58">
        <v>1.1200000000000001</v>
      </c>
      <c r="P58" s="8">
        <v>2462</v>
      </c>
      <c r="Q58" s="8">
        <v>67</v>
      </c>
      <c r="R58">
        <v>0.2462</v>
      </c>
      <c r="S58" s="8">
        <v>1847</v>
      </c>
      <c r="T58" s="8">
        <v>75.52</v>
      </c>
      <c r="U58">
        <v>0.1847</v>
      </c>
      <c r="V58" s="8">
        <v>14770</v>
      </c>
      <c r="W58" s="8">
        <v>117.2</v>
      </c>
      <c r="X58">
        <v>1.4770000000000001</v>
      </c>
      <c r="Y58" s="8">
        <v>3105</v>
      </c>
      <c r="Z58" s="8">
        <v>61.13</v>
      </c>
      <c r="AA58">
        <v>0.3105</v>
      </c>
    </row>
    <row r="59" spans="1:27" x14ac:dyDescent="0.35">
      <c r="A59" t="s">
        <v>70</v>
      </c>
      <c r="B59" t="s">
        <v>46</v>
      </c>
      <c r="C59" t="s">
        <v>49</v>
      </c>
      <c r="D59">
        <v>1</v>
      </c>
      <c r="E59" s="1">
        <v>44903</v>
      </c>
      <c r="F59">
        <v>0.11574074074074074</v>
      </c>
      <c r="I59">
        <v>0</v>
      </c>
      <c r="J59" s="8">
        <v>2176</v>
      </c>
      <c r="K59" s="8">
        <v>56.29</v>
      </c>
      <c r="L59">
        <v>0.21759999999999999</v>
      </c>
      <c r="M59" s="8">
        <v>12790</v>
      </c>
      <c r="N59" s="8">
        <v>177.4</v>
      </c>
      <c r="O59">
        <v>1.2789999999999999</v>
      </c>
      <c r="P59" s="8">
        <v>2596</v>
      </c>
      <c r="Q59" s="8">
        <v>100.1</v>
      </c>
      <c r="R59">
        <v>0.2596</v>
      </c>
      <c r="S59" s="8">
        <v>1897</v>
      </c>
      <c r="T59" s="8">
        <v>38.25</v>
      </c>
      <c r="U59">
        <v>0.18970000000000001</v>
      </c>
      <c r="V59" s="8">
        <v>17530</v>
      </c>
      <c r="W59" s="8">
        <v>127.4</v>
      </c>
      <c r="X59">
        <v>1.7529999999999999</v>
      </c>
      <c r="Y59" s="8">
        <v>3824</v>
      </c>
      <c r="Z59" s="8">
        <v>185</v>
      </c>
      <c r="AA59">
        <v>0.38240000000000002</v>
      </c>
    </row>
    <row r="60" spans="1:27" x14ac:dyDescent="0.35">
      <c r="A60" t="s">
        <v>60</v>
      </c>
      <c r="B60" t="s">
        <v>46</v>
      </c>
      <c r="C60" t="s">
        <v>49</v>
      </c>
      <c r="D60">
        <v>5.7541000000000002E-2</v>
      </c>
      <c r="E60" s="1">
        <v>44904</v>
      </c>
      <c r="F60">
        <v>0.11574074074074074</v>
      </c>
      <c r="G60" s="8">
        <v>7265</v>
      </c>
      <c r="H60" s="8">
        <v>74.95</v>
      </c>
      <c r="I60">
        <v>0.72650000000000003</v>
      </c>
      <c r="J60" s="8">
        <v>627.79999999999995</v>
      </c>
      <c r="K60" s="8">
        <v>121.4</v>
      </c>
      <c r="L60">
        <v>6.2779999999999989E-2</v>
      </c>
      <c r="M60" s="8">
        <v>10900</v>
      </c>
      <c r="N60" s="8">
        <v>174</v>
      </c>
      <c r="O60">
        <v>1.0900000000000001</v>
      </c>
      <c r="P60" s="8">
        <v>2204</v>
      </c>
      <c r="Q60" s="8">
        <v>118.5</v>
      </c>
      <c r="R60">
        <v>0.22040000000000001</v>
      </c>
      <c r="S60" s="8">
        <v>1693</v>
      </c>
      <c r="T60" s="8">
        <v>36.21</v>
      </c>
      <c r="U60">
        <v>0.16930000000000001</v>
      </c>
      <c r="V60" s="8">
        <v>13930</v>
      </c>
      <c r="W60" s="8">
        <v>114.2</v>
      </c>
      <c r="X60">
        <v>1.393</v>
      </c>
      <c r="Y60" s="8">
        <v>2930</v>
      </c>
      <c r="Z60" s="8">
        <v>36.799999999999997</v>
      </c>
      <c r="AA60">
        <v>0.29299999999999998</v>
      </c>
    </row>
    <row r="61" spans="1:27" x14ac:dyDescent="0.35">
      <c r="A61" t="s">
        <v>58</v>
      </c>
      <c r="B61" t="s">
        <v>46</v>
      </c>
      <c r="C61" t="s">
        <v>49</v>
      </c>
      <c r="D61">
        <v>5.7541000000000002E-2</v>
      </c>
      <c r="E61" s="1">
        <v>44830</v>
      </c>
      <c r="F61">
        <v>0.68517361111111119</v>
      </c>
      <c r="I61">
        <v>0</v>
      </c>
      <c r="L61">
        <v>0</v>
      </c>
      <c r="M61" s="8">
        <v>53.38</v>
      </c>
      <c r="N61" s="8">
        <v>23.56</v>
      </c>
      <c r="O61">
        <v>9.0170442068278182E-4</v>
      </c>
      <c r="R61">
        <v>0</v>
      </c>
      <c r="U61">
        <v>0</v>
      </c>
      <c r="V61" s="8">
        <v>29.38</v>
      </c>
      <c r="W61" s="8">
        <v>27.77</v>
      </c>
      <c r="X61">
        <v>4.9629216709741713E-4</v>
      </c>
      <c r="AA61">
        <v>0</v>
      </c>
    </row>
    <row r="62" spans="1:27" x14ac:dyDescent="0.35">
      <c r="A62" t="s">
        <v>59</v>
      </c>
      <c r="B62" t="s">
        <v>46</v>
      </c>
      <c r="C62" t="s">
        <v>49</v>
      </c>
      <c r="D62">
        <v>5.0090000000000003E-2</v>
      </c>
      <c r="E62" s="1">
        <v>44827</v>
      </c>
      <c r="F62">
        <v>1</v>
      </c>
      <c r="I62">
        <v>0</v>
      </c>
      <c r="J62" s="8">
        <v>219.2</v>
      </c>
      <c r="K62" s="8">
        <v>66.040000000000006</v>
      </c>
      <c r="L62">
        <v>2.5370370370370369E-3</v>
      </c>
      <c r="M62" s="8">
        <v>2566</v>
      </c>
      <c r="N62" s="8">
        <v>226.2</v>
      </c>
      <c r="O62">
        <v>2.9699074074074076E-2</v>
      </c>
      <c r="P62" s="8">
        <v>362.7</v>
      </c>
      <c r="Q62" s="8">
        <v>28.42</v>
      </c>
      <c r="R62">
        <v>4.1979166666666666E-3</v>
      </c>
      <c r="U62">
        <v>0</v>
      </c>
      <c r="V62" s="8">
        <v>3250</v>
      </c>
      <c r="W62" s="8">
        <v>315.2</v>
      </c>
      <c r="X62">
        <v>3.7615740740740741E-2</v>
      </c>
      <c r="AA62">
        <v>0</v>
      </c>
    </row>
    <row r="63" spans="1:27" x14ac:dyDescent="0.35">
      <c r="A63" t="s">
        <v>71</v>
      </c>
      <c r="B63" t="s">
        <v>46</v>
      </c>
      <c r="C63" t="s">
        <v>49</v>
      </c>
      <c r="D63">
        <v>5.0090000000000003E-2</v>
      </c>
      <c r="E63" s="1">
        <v>44909</v>
      </c>
      <c r="F63">
        <v>0.11574074074074074</v>
      </c>
      <c r="I63">
        <v>0</v>
      </c>
      <c r="L63">
        <v>0</v>
      </c>
      <c r="M63" s="8">
        <v>264.2</v>
      </c>
      <c r="N63" s="8">
        <v>73.72</v>
      </c>
      <c r="O63">
        <v>2.6419999999999999E-2</v>
      </c>
      <c r="P63" s="8">
        <v>47.38</v>
      </c>
      <c r="Q63" s="8">
        <v>9.625</v>
      </c>
      <c r="R63">
        <v>4.738E-3</v>
      </c>
      <c r="S63" s="8">
        <v>47.84</v>
      </c>
      <c r="T63" s="8">
        <v>8.6809999999999992</v>
      </c>
      <c r="U63">
        <v>4.7840000000000001E-3</v>
      </c>
      <c r="V63" s="8">
        <v>352</v>
      </c>
      <c r="W63" s="8">
        <v>49.88</v>
      </c>
      <c r="X63">
        <v>3.5200000000000002E-2</v>
      </c>
      <c r="AA63">
        <v>0</v>
      </c>
    </row>
    <row r="64" spans="1:27" x14ac:dyDescent="0.35">
      <c r="A64" t="s">
        <v>61</v>
      </c>
      <c r="B64" t="s">
        <v>46</v>
      </c>
      <c r="C64" t="s">
        <v>49</v>
      </c>
      <c r="D64">
        <v>6.4928E-2</v>
      </c>
      <c r="E64" s="1">
        <v>44830</v>
      </c>
      <c r="F64">
        <v>0.32245370370370369</v>
      </c>
      <c r="I64">
        <v>0</v>
      </c>
      <c r="J64" s="8">
        <v>10150</v>
      </c>
      <c r="K64" s="8">
        <v>621.20000000000005</v>
      </c>
      <c r="L64">
        <v>0.36432160804020103</v>
      </c>
      <c r="M64" s="8">
        <v>62270</v>
      </c>
      <c r="N64" s="8">
        <v>363.2</v>
      </c>
      <c r="O64">
        <v>2.2351040918880116</v>
      </c>
      <c r="P64" s="8">
        <v>12800</v>
      </c>
      <c r="Q64" s="8">
        <v>128</v>
      </c>
      <c r="R64">
        <v>0.45944005743000715</v>
      </c>
      <c r="U64">
        <v>0</v>
      </c>
      <c r="V64" s="8">
        <v>89270</v>
      </c>
      <c r="W64" s="8">
        <v>548.79999999999995</v>
      </c>
      <c r="X64">
        <v>3.2042354630294327</v>
      </c>
      <c r="Y64" s="8">
        <v>15580</v>
      </c>
      <c r="Z64" s="8">
        <v>845.6</v>
      </c>
      <c r="AA64">
        <v>0.55922469490308691</v>
      </c>
    </row>
    <row r="65" spans="1:27" x14ac:dyDescent="0.35">
      <c r="A65" t="s">
        <v>62</v>
      </c>
      <c r="B65" t="s">
        <v>46</v>
      </c>
      <c r="C65" t="s">
        <v>49</v>
      </c>
      <c r="D65">
        <v>6.4928E-2</v>
      </c>
      <c r="E65" s="1">
        <v>44903</v>
      </c>
      <c r="F65">
        <v>0.11574074074074074</v>
      </c>
      <c r="I65">
        <v>0</v>
      </c>
      <c r="J65" s="8">
        <v>4518</v>
      </c>
      <c r="K65" s="8">
        <v>237.1</v>
      </c>
      <c r="L65">
        <v>0.45179999999999998</v>
      </c>
      <c r="M65" s="8">
        <v>32550</v>
      </c>
      <c r="N65" s="8">
        <v>168.1</v>
      </c>
      <c r="O65">
        <v>3.2549999999999999</v>
      </c>
      <c r="P65" s="8">
        <v>6490</v>
      </c>
      <c r="Q65" s="8">
        <v>73.2</v>
      </c>
      <c r="R65">
        <v>0.64900000000000002</v>
      </c>
      <c r="S65" s="8">
        <v>5227</v>
      </c>
      <c r="T65" s="8">
        <v>75.5</v>
      </c>
      <c r="U65">
        <v>0.52270000000000005</v>
      </c>
      <c r="V65" s="8">
        <v>44600</v>
      </c>
      <c r="W65" s="8">
        <v>388.8</v>
      </c>
      <c r="X65">
        <v>4.46</v>
      </c>
      <c r="Y65" s="8">
        <v>8216</v>
      </c>
      <c r="Z65" s="8">
        <v>664.5</v>
      </c>
      <c r="AA65">
        <v>0.8216</v>
      </c>
    </row>
    <row r="66" spans="1:27" x14ac:dyDescent="0.35">
      <c r="A66" t="s">
        <v>67</v>
      </c>
      <c r="B66" t="s">
        <v>46</v>
      </c>
      <c r="C66" t="s">
        <v>49</v>
      </c>
      <c r="D66">
        <v>2.6936000000000002E-2</v>
      </c>
      <c r="E66" s="1">
        <v>44893</v>
      </c>
      <c r="F66">
        <v>1.9963657407407409</v>
      </c>
      <c r="G66" s="8">
        <v>4524</v>
      </c>
      <c r="H66" s="8">
        <v>154.30000000000001</v>
      </c>
      <c r="I66">
        <v>2.6228215623296962E-2</v>
      </c>
      <c r="J66" s="8">
        <v>1240</v>
      </c>
      <c r="K66" s="8">
        <v>152.6</v>
      </c>
      <c r="L66">
        <v>7.1889892513015549E-3</v>
      </c>
      <c r="M66" s="8">
        <v>1629</v>
      </c>
      <c r="N66" s="8">
        <v>123.5</v>
      </c>
      <c r="O66">
        <v>9.4442447502985742E-3</v>
      </c>
      <c r="P66" s="8">
        <v>351.7</v>
      </c>
      <c r="Q66" s="8">
        <v>23.24</v>
      </c>
      <c r="R66">
        <v>2.0390060642602875E-3</v>
      </c>
      <c r="S66" s="8">
        <v>282</v>
      </c>
      <c r="T66" s="8">
        <v>95.1</v>
      </c>
      <c r="U66">
        <v>1.6349152974734181E-3</v>
      </c>
      <c r="V66" s="8">
        <v>2532</v>
      </c>
      <c r="W66" s="8">
        <v>169.4</v>
      </c>
      <c r="X66">
        <v>1.4679452245399627E-2</v>
      </c>
      <c r="Y66" s="8">
        <v>426.7</v>
      </c>
      <c r="Z66" s="8">
        <v>148.30000000000001</v>
      </c>
      <c r="AA66">
        <v>2.4738239625244946E-3</v>
      </c>
    </row>
    <row r="68" spans="1:27" ht="15" thickBot="1" x14ac:dyDescent="0.4">
      <c r="G68" t="s">
        <v>1</v>
      </c>
      <c r="H68" t="s">
        <v>23</v>
      </c>
      <c r="J68" t="s">
        <v>44</v>
      </c>
      <c r="K68" t="s">
        <v>45</v>
      </c>
      <c r="M68" t="s">
        <v>21</v>
      </c>
      <c r="N68" t="s">
        <v>42</v>
      </c>
      <c r="P68" t="s">
        <v>19</v>
      </c>
      <c r="Q68" t="s">
        <v>41</v>
      </c>
      <c r="S68" t="s">
        <v>63</v>
      </c>
      <c r="T68" t="s">
        <v>64</v>
      </c>
      <c r="V68" t="s">
        <v>65</v>
      </c>
      <c r="W68" t="s">
        <v>66</v>
      </c>
    </row>
    <row r="69" spans="1:27" ht="15" thickBot="1" x14ac:dyDescent="0.4">
      <c r="A69" s="13" t="s">
        <v>30</v>
      </c>
      <c r="B69" s="13" t="s">
        <v>29</v>
      </c>
      <c r="C69" s="13" t="s">
        <v>31</v>
      </c>
      <c r="D69" s="13" t="s">
        <v>27</v>
      </c>
      <c r="E69" s="13" t="s">
        <v>25</v>
      </c>
      <c r="F69" s="25" t="s">
        <v>28</v>
      </c>
      <c r="G69" t="s">
        <v>53</v>
      </c>
      <c r="H69" t="s">
        <v>54</v>
      </c>
      <c r="I69" t="s">
        <v>55</v>
      </c>
      <c r="J69" t="s">
        <v>53</v>
      </c>
      <c r="K69" t="s">
        <v>54</v>
      </c>
      <c r="L69" t="s">
        <v>55</v>
      </c>
      <c r="M69" t="s">
        <v>53</v>
      </c>
      <c r="N69" t="s">
        <v>54</v>
      </c>
      <c r="O69" t="s">
        <v>55</v>
      </c>
      <c r="P69" t="s">
        <v>53</v>
      </c>
      <c r="Q69" t="s">
        <v>54</v>
      </c>
      <c r="R69" t="s">
        <v>55</v>
      </c>
      <c r="S69" t="s">
        <v>53</v>
      </c>
      <c r="T69" t="s">
        <v>54</v>
      </c>
      <c r="U69" t="s">
        <v>55</v>
      </c>
      <c r="V69" t="s">
        <v>53</v>
      </c>
      <c r="W69" t="s">
        <v>54</v>
      </c>
      <c r="X69" t="s">
        <v>55</v>
      </c>
    </row>
    <row r="70" spans="1:27" ht="15" thickBot="1" x14ac:dyDescent="0.4">
      <c r="A70" s="10" t="s">
        <v>52</v>
      </c>
      <c r="B70" s="11" t="s">
        <v>46</v>
      </c>
      <c r="C70" s="11" t="s">
        <v>49</v>
      </c>
      <c r="D70" s="11">
        <v>4.0795999999999999E-2</v>
      </c>
      <c r="E70" s="20">
        <v>44890</v>
      </c>
      <c r="F70" s="26">
        <v>2.7263773148148149</v>
      </c>
      <c r="G70" s="8">
        <v>547</v>
      </c>
      <c r="H70" s="8">
        <v>46.32</v>
      </c>
      <c r="I70">
        <v>2.3221358555606027E-3</v>
      </c>
      <c r="J70" s="8">
        <v>489.1</v>
      </c>
      <c r="K70" s="8">
        <v>96.7</v>
      </c>
      <c r="L70">
        <v>2.0763375629884659E-3</v>
      </c>
      <c r="M70" s="8">
        <v>2453</v>
      </c>
      <c r="N70" s="8">
        <v>145.69999999999999</v>
      </c>
      <c r="O70">
        <v>1.0413526972011259E-2</v>
      </c>
      <c r="P70" s="8">
        <v>1835</v>
      </c>
      <c r="Q70" s="8">
        <v>54.12</v>
      </c>
      <c r="R70">
        <v>7.7899804295314548E-3</v>
      </c>
      <c r="S70" s="8">
        <v>334.3</v>
      </c>
      <c r="T70" s="8">
        <v>46.85</v>
      </c>
      <c r="U70">
        <v>1.4191773610857578E-3</v>
      </c>
      <c r="V70" s="8">
        <v>271.60000000000002</v>
      </c>
      <c r="W70" s="8">
        <v>20.32</v>
      </c>
      <c r="X70">
        <v>1.153002007989506E-3</v>
      </c>
    </row>
    <row r="71" spans="1:27" x14ac:dyDescent="0.35">
      <c r="A71" t="s">
        <v>69</v>
      </c>
      <c r="B71" t="s">
        <v>46</v>
      </c>
      <c r="C71" t="s">
        <v>49</v>
      </c>
      <c r="D71">
        <v>1</v>
      </c>
      <c r="E71" s="1">
        <v>44904</v>
      </c>
      <c r="F71">
        <v>0.11574074074074074</v>
      </c>
      <c r="G71" s="8">
        <v>1223</v>
      </c>
      <c r="H71" s="8">
        <v>45.3</v>
      </c>
      <c r="I71">
        <v>0.12230000000000001</v>
      </c>
      <c r="J71" s="8">
        <v>3105</v>
      </c>
      <c r="K71" s="8">
        <v>61.13</v>
      </c>
      <c r="L71">
        <v>0.3105</v>
      </c>
      <c r="M71" s="8">
        <v>14770</v>
      </c>
      <c r="N71" s="8">
        <v>117.2</v>
      </c>
      <c r="O71">
        <v>1.4770000000000001</v>
      </c>
      <c r="P71" s="8">
        <v>11200</v>
      </c>
      <c r="Q71" s="8">
        <v>98.33</v>
      </c>
      <c r="R71">
        <v>1.1200000000000001</v>
      </c>
      <c r="S71" s="8">
        <v>2462</v>
      </c>
      <c r="T71" s="8">
        <v>67</v>
      </c>
      <c r="U71">
        <v>0.2462</v>
      </c>
      <c r="V71" s="8">
        <v>1847</v>
      </c>
      <c r="W71" s="8">
        <v>75.52</v>
      </c>
      <c r="X71">
        <v>0.1847</v>
      </c>
    </row>
    <row r="72" spans="1:27" x14ac:dyDescent="0.35">
      <c r="A72" t="s">
        <v>70</v>
      </c>
      <c r="B72" t="s">
        <v>46</v>
      </c>
      <c r="C72" t="s">
        <v>49</v>
      </c>
      <c r="D72">
        <v>1</v>
      </c>
      <c r="E72" s="1">
        <v>44903</v>
      </c>
      <c r="F72">
        <v>0.11574074074074074</v>
      </c>
      <c r="G72" s="8">
        <v>2176</v>
      </c>
      <c r="H72" s="8">
        <v>56.29</v>
      </c>
      <c r="I72">
        <v>0.21759999999999999</v>
      </c>
      <c r="J72" s="8">
        <v>3824</v>
      </c>
      <c r="K72" s="8">
        <v>185</v>
      </c>
      <c r="L72">
        <v>0.38240000000000002</v>
      </c>
      <c r="M72" s="8">
        <v>17530</v>
      </c>
      <c r="N72" s="8">
        <v>127.4</v>
      </c>
      <c r="O72">
        <v>1.7529999999999999</v>
      </c>
      <c r="P72" s="8">
        <v>12790</v>
      </c>
      <c r="Q72" s="8">
        <v>177.4</v>
      </c>
      <c r="R72">
        <v>1.2789999999999999</v>
      </c>
      <c r="S72" s="8">
        <v>2596</v>
      </c>
      <c r="T72" s="8">
        <v>100.1</v>
      </c>
      <c r="U72">
        <v>0.2596</v>
      </c>
      <c r="V72" s="8">
        <v>1897</v>
      </c>
      <c r="W72" s="8">
        <v>38.25</v>
      </c>
      <c r="X72">
        <v>0.18970000000000001</v>
      </c>
    </row>
    <row r="73" spans="1:27" x14ac:dyDescent="0.35">
      <c r="A73" t="s">
        <v>60</v>
      </c>
      <c r="B73" t="s">
        <v>46</v>
      </c>
      <c r="C73" t="s">
        <v>49</v>
      </c>
      <c r="D73">
        <v>5.7541000000000002E-2</v>
      </c>
      <c r="E73" s="1">
        <v>44904</v>
      </c>
      <c r="F73">
        <v>0.11574074074074074</v>
      </c>
      <c r="G73" s="8">
        <v>627.79999999999995</v>
      </c>
      <c r="H73" s="8">
        <v>121.4</v>
      </c>
      <c r="I73">
        <v>6.2779999999999989E-2</v>
      </c>
      <c r="J73" s="8">
        <v>2930</v>
      </c>
      <c r="K73" s="8">
        <v>36.799999999999997</v>
      </c>
      <c r="L73">
        <v>0.29299999999999998</v>
      </c>
      <c r="M73" s="8">
        <v>13930</v>
      </c>
      <c r="N73" s="8">
        <v>114.2</v>
      </c>
      <c r="O73">
        <v>1.393</v>
      </c>
      <c r="P73" s="8">
        <v>10900</v>
      </c>
      <c r="Q73" s="8">
        <v>174</v>
      </c>
      <c r="R73">
        <v>1.0900000000000001</v>
      </c>
      <c r="S73" s="8">
        <v>2204</v>
      </c>
      <c r="T73" s="8">
        <v>118.5</v>
      </c>
      <c r="U73">
        <v>0.22040000000000001</v>
      </c>
      <c r="V73" s="8">
        <v>1693</v>
      </c>
      <c r="W73" s="8">
        <v>36.21</v>
      </c>
      <c r="X73">
        <v>0.16930000000000001</v>
      </c>
    </row>
    <row r="74" spans="1:27" x14ac:dyDescent="0.35">
      <c r="A74" t="s">
        <v>58</v>
      </c>
      <c r="B74" t="s">
        <v>46</v>
      </c>
      <c r="C74" t="s">
        <v>49</v>
      </c>
      <c r="D74">
        <v>5.7541000000000002E-2</v>
      </c>
      <c r="E74" s="1">
        <v>44830</v>
      </c>
      <c r="F74">
        <v>0.68517361111111119</v>
      </c>
      <c r="I74">
        <v>0</v>
      </c>
      <c r="L74">
        <v>0</v>
      </c>
      <c r="M74" s="8">
        <v>29.38</v>
      </c>
      <c r="N74" s="8">
        <v>27.77</v>
      </c>
      <c r="O74">
        <v>4.9629216709741713E-4</v>
      </c>
      <c r="P74" s="8">
        <v>53.38</v>
      </c>
      <c r="Q74" s="8">
        <v>23.56</v>
      </c>
      <c r="R74">
        <v>9.0170442068278182E-4</v>
      </c>
      <c r="U74">
        <v>0</v>
      </c>
      <c r="X74">
        <v>0</v>
      </c>
    </row>
    <row r="75" spans="1:27" x14ac:dyDescent="0.35">
      <c r="A75" t="s">
        <v>59</v>
      </c>
      <c r="B75" t="s">
        <v>46</v>
      </c>
      <c r="C75" t="s">
        <v>49</v>
      </c>
      <c r="D75">
        <v>5.0090000000000003E-2</v>
      </c>
      <c r="E75" s="1">
        <v>44827</v>
      </c>
      <c r="F75">
        <v>1</v>
      </c>
      <c r="G75" s="8">
        <v>219.2</v>
      </c>
      <c r="H75" s="8">
        <v>66.040000000000006</v>
      </c>
      <c r="I75">
        <v>2.5370370370370369E-3</v>
      </c>
      <c r="J75" s="8">
        <v>1224</v>
      </c>
      <c r="K75" s="8">
        <v>104</v>
      </c>
      <c r="L75">
        <v>0</v>
      </c>
      <c r="M75" s="8">
        <v>3250</v>
      </c>
      <c r="N75" s="8">
        <v>315.2</v>
      </c>
      <c r="O75">
        <v>3.7615740740740741E-2</v>
      </c>
      <c r="P75" s="8">
        <v>2566</v>
      </c>
      <c r="Q75" s="8">
        <v>226.2</v>
      </c>
      <c r="R75">
        <v>2.9699074074074076E-2</v>
      </c>
      <c r="S75" s="8">
        <v>362.7</v>
      </c>
      <c r="T75" s="8">
        <v>28.42</v>
      </c>
      <c r="U75">
        <v>4.1979166666666666E-3</v>
      </c>
      <c r="V75" s="8">
        <v>387.5</v>
      </c>
      <c r="W75" s="8">
        <v>143.30000000000001</v>
      </c>
      <c r="X75">
        <v>0</v>
      </c>
    </row>
    <row r="76" spans="1:27" x14ac:dyDescent="0.35">
      <c r="A76" t="s">
        <v>71</v>
      </c>
      <c r="B76" t="s">
        <v>46</v>
      </c>
      <c r="C76" t="s">
        <v>49</v>
      </c>
      <c r="D76">
        <v>5.0090000000000003E-2</v>
      </c>
      <c r="E76" s="1">
        <v>44909</v>
      </c>
      <c r="F76">
        <v>0.11574074074074074</v>
      </c>
      <c r="G76" s="8">
        <v>122.6</v>
      </c>
      <c r="H76" s="8">
        <v>37.17</v>
      </c>
      <c r="I76">
        <v>0</v>
      </c>
      <c r="J76" s="8">
        <v>29.63</v>
      </c>
      <c r="K76" s="8">
        <v>18.440000000000001</v>
      </c>
      <c r="L76">
        <v>0</v>
      </c>
      <c r="M76" s="8">
        <v>352</v>
      </c>
      <c r="N76" s="8">
        <v>49.88</v>
      </c>
      <c r="O76">
        <v>3.5200000000000002E-2</v>
      </c>
      <c r="P76" s="8">
        <v>264.2</v>
      </c>
      <c r="Q76" s="8">
        <v>73.72</v>
      </c>
      <c r="R76">
        <v>2.6419999999999999E-2</v>
      </c>
      <c r="S76" s="8">
        <v>47.38</v>
      </c>
      <c r="T76" s="8">
        <v>9.625</v>
      </c>
      <c r="U76">
        <v>4.738E-3</v>
      </c>
      <c r="V76" s="8">
        <v>47.84</v>
      </c>
      <c r="W76" s="8">
        <v>8.6809999999999992</v>
      </c>
      <c r="X76">
        <v>4.7840000000000001E-3</v>
      </c>
    </row>
    <row r="77" spans="1:27" x14ac:dyDescent="0.35">
      <c r="A77" t="s">
        <v>61</v>
      </c>
      <c r="B77" t="s">
        <v>46</v>
      </c>
      <c r="C77" t="s">
        <v>49</v>
      </c>
      <c r="D77">
        <v>6.4928E-2</v>
      </c>
      <c r="E77" s="1">
        <v>44830</v>
      </c>
      <c r="F77">
        <v>0.32245370370370369</v>
      </c>
      <c r="G77" s="8">
        <v>10150</v>
      </c>
      <c r="H77" s="8">
        <v>621.20000000000005</v>
      </c>
      <c r="I77">
        <v>0.36432160804020103</v>
      </c>
      <c r="J77" s="8">
        <v>15580</v>
      </c>
      <c r="K77" s="8">
        <v>845.6</v>
      </c>
      <c r="L77">
        <v>0.55922469490308691</v>
      </c>
      <c r="M77" s="8">
        <v>89270</v>
      </c>
      <c r="N77" s="8">
        <v>548.79999999999995</v>
      </c>
      <c r="O77">
        <v>3.2042354630294327</v>
      </c>
      <c r="P77" s="8">
        <v>62270</v>
      </c>
      <c r="Q77" s="8">
        <v>363.2</v>
      </c>
      <c r="R77">
        <v>2.2351040918880116</v>
      </c>
      <c r="S77" s="8">
        <v>12800</v>
      </c>
      <c r="T77" s="8">
        <v>128</v>
      </c>
      <c r="U77">
        <v>0.45944005743000715</v>
      </c>
      <c r="V77" s="8">
        <v>10150</v>
      </c>
      <c r="W77" s="8">
        <v>110.5</v>
      </c>
      <c r="X77">
        <v>0</v>
      </c>
    </row>
    <row r="78" spans="1:27" x14ac:dyDescent="0.35">
      <c r="A78" t="s">
        <v>62</v>
      </c>
      <c r="B78" t="s">
        <v>46</v>
      </c>
      <c r="C78" t="s">
        <v>49</v>
      </c>
      <c r="D78">
        <v>6.4928E-2</v>
      </c>
      <c r="E78" s="1">
        <v>44903</v>
      </c>
      <c r="F78">
        <v>0.11574074074074074</v>
      </c>
      <c r="G78" s="8">
        <v>4518</v>
      </c>
      <c r="H78" s="8">
        <v>237.1</v>
      </c>
      <c r="I78">
        <v>0.45179999999999998</v>
      </c>
      <c r="J78" s="8">
        <v>8216</v>
      </c>
      <c r="K78" s="8">
        <v>664.5</v>
      </c>
      <c r="L78">
        <v>0.8216</v>
      </c>
      <c r="M78" s="8">
        <v>44600</v>
      </c>
      <c r="N78" s="8">
        <v>388.8</v>
      </c>
      <c r="O78">
        <v>4.46</v>
      </c>
      <c r="P78" s="8">
        <v>32550</v>
      </c>
      <c r="Q78" s="8">
        <v>168.1</v>
      </c>
      <c r="R78">
        <v>3.2549999999999999</v>
      </c>
      <c r="S78" s="8">
        <v>6490</v>
      </c>
      <c r="T78" s="8">
        <v>73.2</v>
      </c>
      <c r="U78">
        <v>0.64900000000000002</v>
      </c>
      <c r="V78" s="8">
        <v>5227</v>
      </c>
      <c r="W78" s="8">
        <v>75.5</v>
      </c>
      <c r="X78">
        <v>0.52270000000000005</v>
      </c>
    </row>
    <row r="79" spans="1:27" x14ac:dyDescent="0.35">
      <c r="A79" t="s">
        <v>67</v>
      </c>
      <c r="B79" t="s">
        <v>46</v>
      </c>
      <c r="C79" t="s">
        <v>49</v>
      </c>
      <c r="D79">
        <v>2.6936000000000002E-2</v>
      </c>
      <c r="E79" s="1">
        <v>44893</v>
      </c>
      <c r="F79">
        <v>1.9963657407407409</v>
      </c>
      <c r="G79" s="8">
        <v>1240</v>
      </c>
      <c r="H79" s="8">
        <v>152.6</v>
      </c>
      <c r="I79">
        <v>7.1889892513015549E-3</v>
      </c>
      <c r="J79" s="8">
        <v>426.7</v>
      </c>
      <c r="K79" s="8">
        <v>148.30000000000001</v>
      </c>
      <c r="L79">
        <v>2.4738239625244946E-3</v>
      </c>
      <c r="M79" s="8">
        <v>2532</v>
      </c>
      <c r="N79" s="8">
        <v>169.4</v>
      </c>
      <c r="O79">
        <v>1.4679452245399627E-2</v>
      </c>
      <c r="P79" s="8">
        <v>1629</v>
      </c>
      <c r="Q79" s="8">
        <v>123.5</v>
      </c>
      <c r="R79">
        <v>9.4442447502985742E-3</v>
      </c>
      <c r="S79" s="8">
        <v>351.7</v>
      </c>
      <c r="T79" s="8">
        <v>23.24</v>
      </c>
      <c r="U79">
        <v>2.0390060642602875E-3</v>
      </c>
      <c r="V79" s="8">
        <v>282</v>
      </c>
      <c r="W79" s="8">
        <v>95.1</v>
      </c>
      <c r="X79">
        <v>1.6349152974734181E-3</v>
      </c>
    </row>
    <row r="81" spans="1:30" ht="15" thickBot="1" x14ac:dyDescent="0.4">
      <c r="G81" t="s">
        <v>1</v>
      </c>
      <c r="H81" t="s">
        <v>23</v>
      </c>
      <c r="J81" t="s">
        <v>44</v>
      </c>
      <c r="K81" t="s">
        <v>45</v>
      </c>
      <c r="M81" t="s">
        <v>21</v>
      </c>
      <c r="N81" t="s">
        <v>42</v>
      </c>
      <c r="P81" t="s">
        <v>19</v>
      </c>
      <c r="Q81" t="s">
        <v>41</v>
      </c>
      <c r="S81" t="s">
        <v>63</v>
      </c>
      <c r="T81" t="s">
        <v>64</v>
      </c>
      <c r="V81" t="s">
        <v>65</v>
      </c>
      <c r="W81" t="s">
        <v>66</v>
      </c>
    </row>
    <row r="82" spans="1:30" ht="15" thickBot="1" x14ac:dyDescent="0.4">
      <c r="A82" s="13" t="s">
        <v>30</v>
      </c>
      <c r="B82" s="13" t="s">
        <v>29</v>
      </c>
      <c r="C82" s="13" t="s">
        <v>31</v>
      </c>
      <c r="D82" s="13" t="s">
        <v>27</v>
      </c>
      <c r="E82" s="13" t="s">
        <v>25</v>
      </c>
      <c r="F82" s="25" t="s">
        <v>28</v>
      </c>
      <c r="G82" t="s">
        <v>53</v>
      </c>
      <c r="H82" t="s">
        <v>54</v>
      </c>
      <c r="I82" t="s">
        <v>55</v>
      </c>
      <c r="J82" t="s">
        <v>53</v>
      </c>
      <c r="K82" t="s">
        <v>54</v>
      </c>
      <c r="L82" t="s">
        <v>55</v>
      </c>
      <c r="M82" t="s">
        <v>53</v>
      </c>
      <c r="N82" t="s">
        <v>54</v>
      </c>
      <c r="O82" t="s">
        <v>55</v>
      </c>
      <c r="P82" t="s">
        <v>53</v>
      </c>
      <c r="Q82" t="s">
        <v>54</v>
      </c>
      <c r="R82" t="s">
        <v>55</v>
      </c>
      <c r="S82" t="s">
        <v>53</v>
      </c>
      <c r="T82" t="s">
        <v>54</v>
      </c>
      <c r="U82" t="s">
        <v>55</v>
      </c>
      <c r="V82" t="s">
        <v>53</v>
      </c>
      <c r="W82" t="s">
        <v>54</v>
      </c>
      <c r="X82" t="s">
        <v>55</v>
      </c>
    </row>
    <row r="83" spans="1:30" ht="15" thickBot="1" x14ac:dyDescent="0.4">
      <c r="A83" s="10" t="s">
        <v>72</v>
      </c>
      <c r="B83" s="11" t="s">
        <v>37</v>
      </c>
      <c r="C83" s="11" t="s">
        <v>50</v>
      </c>
      <c r="D83" s="11">
        <v>5.6959000000000003E-2</v>
      </c>
      <c r="E83" s="20">
        <v>44907</v>
      </c>
      <c r="F83" s="26">
        <v>0.11574074074074074</v>
      </c>
      <c r="G83" s="8">
        <v>2427</v>
      </c>
      <c r="H83" s="8">
        <v>73.05</v>
      </c>
      <c r="I83">
        <v>0.2427</v>
      </c>
      <c r="J83" s="8">
        <v>5765</v>
      </c>
      <c r="K83" s="8">
        <v>93.71</v>
      </c>
      <c r="L83">
        <v>0.57650000000000001</v>
      </c>
      <c r="M83" s="8">
        <v>31190</v>
      </c>
      <c r="O83">
        <v>0</v>
      </c>
      <c r="P83" s="8">
        <v>24300</v>
      </c>
      <c r="R83">
        <v>0</v>
      </c>
      <c r="S83" s="8">
        <v>5351</v>
      </c>
      <c r="U83">
        <v>0</v>
      </c>
      <c r="V83" s="8">
        <v>4346</v>
      </c>
      <c r="X83">
        <v>0</v>
      </c>
    </row>
    <row r="84" spans="1:30" x14ac:dyDescent="0.35">
      <c r="A84" t="s">
        <v>51</v>
      </c>
      <c r="B84" t="s">
        <v>37</v>
      </c>
      <c r="C84" t="s">
        <v>50</v>
      </c>
      <c r="D84">
        <v>5.6959000000000003E-2</v>
      </c>
      <c r="E84" s="1">
        <v>44890</v>
      </c>
      <c r="F84">
        <v>2.7359606481481484</v>
      </c>
      <c r="G84" s="8">
        <v>3161</v>
      </c>
      <c r="H84" s="8">
        <v>83.48</v>
      </c>
      <c r="I84">
        <v>1.3372139753878175E-2</v>
      </c>
      <c r="J84" s="8">
        <v>579.6</v>
      </c>
      <c r="L84">
        <v>0</v>
      </c>
      <c r="M84" s="8">
        <v>101.7</v>
      </c>
      <c r="N84" s="8">
        <v>222.6</v>
      </c>
      <c r="O84">
        <v>4.3022670451420763E-4</v>
      </c>
      <c r="P84" s="8">
        <v>345.4</v>
      </c>
      <c r="R84">
        <v>0</v>
      </c>
      <c r="S84" s="8">
        <v>1.075</v>
      </c>
      <c r="T84" s="8">
        <v>0</v>
      </c>
      <c r="U84">
        <v>4.5476274075985561E-6</v>
      </c>
      <c r="V84">
        <v>0</v>
      </c>
      <c r="X84">
        <v>0</v>
      </c>
    </row>
    <row r="86" spans="1:30" ht="15" thickBot="1" x14ac:dyDescent="0.4"/>
    <row r="87" spans="1:30" ht="15" thickBot="1" x14ac:dyDescent="0.4">
      <c r="A87" s="10" t="s">
        <v>72</v>
      </c>
      <c r="F87">
        <f>F83*86400</f>
        <v>10000</v>
      </c>
      <c r="G87" s="8">
        <v>2427</v>
      </c>
      <c r="H87" s="8">
        <v>5765</v>
      </c>
      <c r="I87" s="8">
        <v>31190</v>
      </c>
      <c r="J87" s="8">
        <v>24300</v>
      </c>
      <c r="K87" s="8">
        <v>5351</v>
      </c>
      <c r="L87" s="8">
        <v>4346</v>
      </c>
    </row>
    <row r="88" spans="1:30" x14ac:dyDescent="0.35">
      <c r="A88" t="s">
        <v>51</v>
      </c>
      <c r="F88">
        <f>F84*86400</f>
        <v>236387.00000000003</v>
      </c>
      <c r="G88" s="8">
        <v>3161</v>
      </c>
      <c r="H88" s="8">
        <v>579.6</v>
      </c>
      <c r="I88" s="8">
        <v>101.7</v>
      </c>
      <c r="J88" s="8">
        <v>345.4</v>
      </c>
      <c r="K88" s="8">
        <v>1.075</v>
      </c>
      <c r="L88">
        <v>0</v>
      </c>
    </row>
    <row r="90" spans="1:30" ht="15" thickBot="1" x14ac:dyDescent="0.4">
      <c r="G90" t="s">
        <v>18</v>
      </c>
      <c r="H90" t="s">
        <v>24</v>
      </c>
      <c r="J90" t="s">
        <v>1</v>
      </c>
      <c r="K90" t="s">
        <v>23</v>
      </c>
      <c r="M90" t="s">
        <v>7</v>
      </c>
      <c r="N90" t="s">
        <v>38</v>
      </c>
      <c r="P90" t="s">
        <v>16</v>
      </c>
      <c r="Q90" t="s">
        <v>39</v>
      </c>
      <c r="S90" t="s">
        <v>19</v>
      </c>
      <c r="T90" t="s">
        <v>41</v>
      </c>
      <c r="V90" t="s">
        <v>21</v>
      </c>
      <c r="W90" t="s">
        <v>42</v>
      </c>
      <c r="Y90" t="s">
        <v>44</v>
      </c>
      <c r="Z90" t="s">
        <v>45</v>
      </c>
      <c r="AB90" t="s">
        <v>47</v>
      </c>
      <c r="AC90" t="s">
        <v>48</v>
      </c>
    </row>
    <row r="91" spans="1:30" ht="15" thickBot="1" x14ac:dyDescent="0.4">
      <c r="A91" s="13" t="s">
        <v>30</v>
      </c>
      <c r="B91" s="13" t="s">
        <v>29</v>
      </c>
      <c r="C91" s="13" t="s">
        <v>31</v>
      </c>
      <c r="D91" s="13" t="s">
        <v>27</v>
      </c>
      <c r="E91" s="13" t="s">
        <v>25</v>
      </c>
      <c r="F91" s="25" t="s">
        <v>28</v>
      </c>
      <c r="G91" t="s">
        <v>53</v>
      </c>
      <c r="H91" t="s">
        <v>54</v>
      </c>
      <c r="I91" t="s">
        <v>55</v>
      </c>
      <c r="J91" t="s">
        <v>53</v>
      </c>
      <c r="K91" t="s">
        <v>54</v>
      </c>
      <c r="L91" t="s">
        <v>55</v>
      </c>
      <c r="M91" t="s">
        <v>53</v>
      </c>
      <c r="N91" t="s">
        <v>54</v>
      </c>
      <c r="O91" t="s">
        <v>55</v>
      </c>
      <c r="P91" t="s">
        <v>53</v>
      </c>
      <c r="Q91" t="s">
        <v>54</v>
      </c>
      <c r="R91" t="s">
        <v>55</v>
      </c>
      <c r="S91" t="s">
        <v>53</v>
      </c>
      <c r="T91" t="s">
        <v>54</v>
      </c>
      <c r="U91" t="s">
        <v>55</v>
      </c>
      <c r="V91" t="s">
        <v>53</v>
      </c>
      <c r="W91" t="s">
        <v>54</v>
      </c>
      <c r="X91" t="s">
        <v>55</v>
      </c>
      <c r="Y91" t="s">
        <v>53</v>
      </c>
      <c r="Z91" t="s">
        <v>54</v>
      </c>
      <c r="AA91" t="s">
        <v>55</v>
      </c>
      <c r="AB91" t="s">
        <v>53</v>
      </c>
      <c r="AC91" t="s">
        <v>54</v>
      </c>
      <c r="AD91" t="s">
        <v>55</v>
      </c>
    </row>
    <row r="92" spans="1:30" ht="15" thickBot="1" x14ac:dyDescent="0.4">
      <c r="A92" s="10" t="s">
        <v>52</v>
      </c>
      <c r="B92" s="11" t="s">
        <v>46</v>
      </c>
      <c r="C92" s="11" t="s">
        <v>49</v>
      </c>
      <c r="D92" s="11">
        <v>4.0795999999999999E-2</v>
      </c>
      <c r="E92" s="20">
        <v>44890</v>
      </c>
      <c r="F92" s="26">
        <v>2.7263773148148149</v>
      </c>
      <c r="G92" s="8">
        <v>5567</v>
      </c>
      <c r="H92" s="8">
        <v>142.6</v>
      </c>
      <c r="I92">
        <v>2.3633144987030851E-2</v>
      </c>
      <c r="J92" s="8">
        <v>522.9</v>
      </c>
      <c r="K92" s="8">
        <v>46.16</v>
      </c>
      <c r="L92">
        <v>2.2198260308457754E-3</v>
      </c>
      <c r="M92" s="8">
        <v>1364</v>
      </c>
      <c r="N92" s="8">
        <v>35.6</v>
      </c>
      <c r="O92">
        <v>5.7904813656026724E-3</v>
      </c>
      <c r="P92" s="8">
        <v>6978</v>
      </c>
      <c r="Q92" s="8">
        <v>184.5</v>
      </c>
      <c r="R92">
        <v>2.9623151736932148E-2</v>
      </c>
      <c r="S92" s="8">
        <v>2209</v>
      </c>
      <c r="T92" s="8">
        <v>145.19999999999999</v>
      </c>
      <c r="U92">
        <v>9.3776930620354144E-3</v>
      </c>
      <c r="V92" s="8">
        <v>2983</v>
      </c>
      <c r="W92" s="8">
        <v>146.1</v>
      </c>
      <c r="X92">
        <v>1.2663494071548953E-2</v>
      </c>
      <c r="Y92" s="8">
        <v>643.1</v>
      </c>
      <c r="Z92" s="8">
        <v>58.06</v>
      </c>
      <c r="AA92">
        <v>2.7301015881371548E-3</v>
      </c>
      <c r="AB92" s="8">
        <v>620.29999999999995</v>
      </c>
      <c r="AC92" s="8">
        <v>46.72</v>
      </c>
      <c r="AD92">
        <v>2.6333105506476081E-3</v>
      </c>
    </row>
    <row r="94" spans="1:30" ht="15" thickBot="1" x14ac:dyDescent="0.4">
      <c r="G94" t="s">
        <v>18</v>
      </c>
      <c r="H94" t="s">
        <v>24</v>
      </c>
      <c r="J94" t="s">
        <v>1</v>
      </c>
      <c r="K94" t="s">
        <v>23</v>
      </c>
      <c r="M94" t="s">
        <v>7</v>
      </c>
      <c r="N94" t="s">
        <v>38</v>
      </c>
      <c r="P94" t="s">
        <v>16</v>
      </c>
      <c r="Q94" t="s">
        <v>39</v>
      </c>
      <c r="S94" t="s">
        <v>19</v>
      </c>
      <c r="T94" t="s">
        <v>41</v>
      </c>
      <c r="V94" t="s">
        <v>21</v>
      </c>
      <c r="W94" t="s">
        <v>42</v>
      </c>
      <c r="Y94" t="s">
        <v>44</v>
      </c>
      <c r="Z94" t="s">
        <v>45</v>
      </c>
      <c r="AB94" t="s">
        <v>47</v>
      </c>
      <c r="AC94" t="s">
        <v>48</v>
      </c>
    </row>
    <row r="95" spans="1:30" ht="15" thickBot="1" x14ac:dyDescent="0.4">
      <c r="A95" s="13" t="s">
        <v>30</v>
      </c>
      <c r="B95" s="13" t="s">
        <v>29</v>
      </c>
      <c r="C95" s="13" t="s">
        <v>31</v>
      </c>
      <c r="D95" s="13" t="s">
        <v>27</v>
      </c>
      <c r="E95" s="13" t="s">
        <v>25</v>
      </c>
      <c r="F95" s="25" t="s">
        <v>28</v>
      </c>
      <c r="G95" t="s">
        <v>18</v>
      </c>
      <c r="H95" t="s">
        <v>24</v>
      </c>
      <c r="I95" t="s">
        <v>55</v>
      </c>
      <c r="J95" t="s">
        <v>1</v>
      </c>
      <c r="K95" t="s">
        <v>23</v>
      </c>
      <c r="L95" t="s">
        <v>55</v>
      </c>
      <c r="M95" t="s">
        <v>7</v>
      </c>
      <c r="N95" t="s">
        <v>38</v>
      </c>
      <c r="O95" t="s">
        <v>55</v>
      </c>
      <c r="P95" t="s">
        <v>16</v>
      </c>
      <c r="Q95" t="s">
        <v>39</v>
      </c>
      <c r="R95" t="s">
        <v>55</v>
      </c>
      <c r="S95" t="s">
        <v>19</v>
      </c>
      <c r="T95" t="s">
        <v>41</v>
      </c>
      <c r="U95" t="s">
        <v>55</v>
      </c>
      <c r="V95" t="s">
        <v>21</v>
      </c>
      <c r="W95" t="s">
        <v>42</v>
      </c>
      <c r="X95" t="s">
        <v>55</v>
      </c>
      <c r="Y95" t="s">
        <v>44</v>
      </c>
      <c r="Z95" t="s">
        <v>45</v>
      </c>
      <c r="AA95" t="s">
        <v>55</v>
      </c>
      <c r="AB95" t="s">
        <v>47</v>
      </c>
      <c r="AC95" t="s">
        <v>48</v>
      </c>
      <c r="AD95" t="s">
        <v>55</v>
      </c>
    </row>
    <row r="96" spans="1:30" ht="15" thickBot="1" x14ac:dyDescent="0.4">
      <c r="A96" s="13" t="s">
        <v>52</v>
      </c>
      <c r="B96" s="13" t="s">
        <v>46</v>
      </c>
      <c r="C96" s="13" t="s">
        <v>49</v>
      </c>
      <c r="D96" s="13">
        <v>4.0795999999999999E-2</v>
      </c>
      <c r="E96" s="21">
        <v>44890</v>
      </c>
      <c r="F96" s="25">
        <v>2.7263773148148149</v>
      </c>
      <c r="G96" s="8" t="s">
        <v>53</v>
      </c>
      <c r="H96" s="8" t="s">
        <v>54</v>
      </c>
      <c r="I96" t="s">
        <v>55</v>
      </c>
      <c r="J96" s="8" t="s">
        <v>53</v>
      </c>
      <c r="K96" s="8" t="s">
        <v>54</v>
      </c>
      <c r="L96" t="s">
        <v>55</v>
      </c>
      <c r="M96" s="8" t="s">
        <v>53</v>
      </c>
      <c r="N96" s="8" t="s">
        <v>54</v>
      </c>
      <c r="O96" t="s">
        <v>55</v>
      </c>
      <c r="P96" s="8" t="s">
        <v>53</v>
      </c>
      <c r="Q96" s="8" t="s">
        <v>54</v>
      </c>
      <c r="R96" t="s">
        <v>55</v>
      </c>
      <c r="S96" s="8" t="s">
        <v>53</v>
      </c>
      <c r="T96" s="8" t="s">
        <v>54</v>
      </c>
      <c r="U96" t="s">
        <v>55</v>
      </c>
      <c r="V96" s="8" t="s">
        <v>53</v>
      </c>
      <c r="W96" s="8" t="s">
        <v>54</v>
      </c>
      <c r="X96" t="s">
        <v>55</v>
      </c>
      <c r="Y96" s="8" t="s">
        <v>53</v>
      </c>
      <c r="Z96" s="8" t="s">
        <v>54</v>
      </c>
      <c r="AA96" t="s">
        <v>55</v>
      </c>
      <c r="AB96" s="8" t="s">
        <v>53</v>
      </c>
      <c r="AC96" s="8" t="s">
        <v>54</v>
      </c>
      <c r="AD96" t="s">
        <v>55</v>
      </c>
    </row>
    <row r="97" spans="1:30" ht="15" thickBot="1" x14ac:dyDescent="0.4">
      <c r="A97" s="10" t="s">
        <v>69</v>
      </c>
      <c r="B97" s="11" t="s">
        <v>46</v>
      </c>
      <c r="C97" s="11" t="s">
        <v>49</v>
      </c>
      <c r="D97" s="11">
        <v>1</v>
      </c>
      <c r="E97" s="20">
        <v>44904</v>
      </c>
      <c r="F97" s="26">
        <v>0.11574074074074074</v>
      </c>
      <c r="G97" s="8">
        <v>196.4</v>
      </c>
      <c r="H97" s="8">
        <v>15.06</v>
      </c>
      <c r="I97">
        <v>1.9640000000000001E-2</v>
      </c>
      <c r="J97" s="8">
        <v>1223</v>
      </c>
      <c r="K97" s="8">
        <v>45.3</v>
      </c>
      <c r="L97">
        <v>0.12230000000000001</v>
      </c>
      <c r="O97">
        <v>0</v>
      </c>
      <c r="P97" s="8">
        <v>278.10000000000002</v>
      </c>
      <c r="Q97" s="8">
        <v>30.59</v>
      </c>
      <c r="R97">
        <v>2.7810000000000001E-2</v>
      </c>
      <c r="S97" s="8">
        <v>11200</v>
      </c>
      <c r="T97" s="8">
        <v>98.33</v>
      </c>
      <c r="U97">
        <v>1.1200000000000001</v>
      </c>
      <c r="V97" s="8">
        <v>14770</v>
      </c>
      <c r="W97" s="8">
        <v>117.2</v>
      </c>
      <c r="X97">
        <v>1.4770000000000001</v>
      </c>
      <c r="Y97" s="8">
        <v>3105</v>
      </c>
      <c r="Z97" s="8">
        <v>61.13</v>
      </c>
      <c r="AA97">
        <v>0.3105</v>
      </c>
      <c r="AD97">
        <v>0</v>
      </c>
    </row>
    <row r="99" spans="1:30" ht="15" thickBot="1" x14ac:dyDescent="0.4">
      <c r="G99" t="s">
        <v>18</v>
      </c>
      <c r="H99" t="s">
        <v>24</v>
      </c>
      <c r="J99" t="s">
        <v>1</v>
      </c>
      <c r="K99" t="s">
        <v>23</v>
      </c>
      <c r="M99" t="s">
        <v>7</v>
      </c>
      <c r="N99" t="s">
        <v>38</v>
      </c>
      <c r="P99" t="s">
        <v>16</v>
      </c>
      <c r="Q99" t="s">
        <v>39</v>
      </c>
      <c r="S99" t="s">
        <v>19</v>
      </c>
      <c r="T99" t="s">
        <v>41</v>
      </c>
      <c r="V99" t="s">
        <v>21</v>
      </c>
      <c r="W99" t="s">
        <v>42</v>
      </c>
      <c r="Y99" t="s">
        <v>44</v>
      </c>
      <c r="Z99" t="s">
        <v>45</v>
      </c>
      <c r="AB99" t="s">
        <v>47</v>
      </c>
      <c r="AC99" t="s">
        <v>48</v>
      </c>
    </row>
    <row r="100" spans="1:30" ht="15" thickBot="1" x14ac:dyDescent="0.4">
      <c r="A100" s="13" t="s">
        <v>30</v>
      </c>
      <c r="B100" s="13" t="s">
        <v>29</v>
      </c>
      <c r="C100" s="13" t="s">
        <v>31</v>
      </c>
      <c r="D100" s="13" t="s">
        <v>27</v>
      </c>
      <c r="E100" s="13" t="s">
        <v>25</v>
      </c>
      <c r="F100" s="25" t="s">
        <v>28</v>
      </c>
      <c r="G100" t="s">
        <v>18</v>
      </c>
      <c r="H100" t="s">
        <v>24</v>
      </c>
      <c r="I100" t="s">
        <v>55</v>
      </c>
      <c r="J100" t="s">
        <v>1</v>
      </c>
      <c r="K100" t="s">
        <v>23</v>
      </c>
      <c r="L100" t="s">
        <v>55</v>
      </c>
      <c r="M100" t="s">
        <v>7</v>
      </c>
      <c r="N100" t="s">
        <v>38</v>
      </c>
      <c r="O100" t="s">
        <v>55</v>
      </c>
      <c r="P100" t="s">
        <v>16</v>
      </c>
      <c r="Q100" t="s">
        <v>39</v>
      </c>
      <c r="R100" t="s">
        <v>55</v>
      </c>
      <c r="S100" t="s">
        <v>19</v>
      </c>
      <c r="T100" t="s">
        <v>41</v>
      </c>
      <c r="U100" t="s">
        <v>55</v>
      </c>
      <c r="V100" t="s">
        <v>21</v>
      </c>
      <c r="W100" t="s">
        <v>42</v>
      </c>
      <c r="X100" t="s">
        <v>55</v>
      </c>
      <c r="Y100" t="s">
        <v>44</v>
      </c>
      <c r="Z100" t="s">
        <v>45</v>
      </c>
      <c r="AA100" t="s">
        <v>55</v>
      </c>
      <c r="AB100" t="s">
        <v>47</v>
      </c>
      <c r="AC100" t="s">
        <v>48</v>
      </c>
      <c r="AD100" t="s">
        <v>55</v>
      </c>
    </row>
    <row r="101" spans="1:30" ht="15" thickBot="1" x14ac:dyDescent="0.4">
      <c r="A101" s="13" t="s">
        <v>52</v>
      </c>
      <c r="B101" s="13" t="s">
        <v>46</v>
      </c>
      <c r="C101" s="13" t="s">
        <v>49</v>
      </c>
      <c r="D101" s="13">
        <v>4.0795999999999999E-2</v>
      </c>
      <c r="E101" s="21">
        <v>44890</v>
      </c>
      <c r="F101" s="25">
        <v>2.7263773148148149</v>
      </c>
      <c r="G101" s="8" t="s">
        <v>53</v>
      </c>
      <c r="H101" s="8" t="s">
        <v>54</v>
      </c>
      <c r="I101" t="s">
        <v>55</v>
      </c>
      <c r="J101" s="8" t="s">
        <v>53</v>
      </c>
      <c r="K101" s="8" t="s">
        <v>54</v>
      </c>
      <c r="L101" t="s">
        <v>55</v>
      </c>
      <c r="M101" s="8" t="s">
        <v>53</v>
      </c>
      <c r="N101" s="8" t="s">
        <v>54</v>
      </c>
      <c r="O101" t="s">
        <v>55</v>
      </c>
      <c r="P101" s="8" t="s">
        <v>53</v>
      </c>
      <c r="Q101" s="8" t="s">
        <v>54</v>
      </c>
      <c r="R101" t="s">
        <v>55</v>
      </c>
      <c r="S101" s="8" t="s">
        <v>53</v>
      </c>
      <c r="T101" s="8" t="s">
        <v>54</v>
      </c>
      <c r="U101" t="s">
        <v>55</v>
      </c>
      <c r="V101" s="8" t="s">
        <v>53</v>
      </c>
      <c r="W101" s="8" t="s">
        <v>54</v>
      </c>
      <c r="X101" t="s">
        <v>55</v>
      </c>
      <c r="Y101" s="8" t="s">
        <v>53</v>
      </c>
      <c r="Z101" s="8" t="s">
        <v>54</v>
      </c>
      <c r="AA101" t="s">
        <v>55</v>
      </c>
      <c r="AB101" s="8" t="s">
        <v>53</v>
      </c>
      <c r="AC101" s="8" t="s">
        <v>54</v>
      </c>
      <c r="AD101" t="s">
        <v>55</v>
      </c>
    </row>
    <row r="102" spans="1:30" ht="15" thickBot="1" x14ac:dyDescent="0.4">
      <c r="A102" s="10" t="s">
        <v>69</v>
      </c>
      <c r="B102" s="11" t="s">
        <v>46</v>
      </c>
      <c r="C102" s="11" t="s">
        <v>49</v>
      </c>
      <c r="D102" s="11">
        <v>1</v>
      </c>
      <c r="E102" s="20">
        <v>44904</v>
      </c>
      <c r="F102" s="26">
        <v>0.11574074074074074</v>
      </c>
      <c r="G102" s="8">
        <v>196.4</v>
      </c>
      <c r="H102" s="8">
        <v>15.06</v>
      </c>
      <c r="I102">
        <v>1.9640000000000001E-2</v>
      </c>
      <c r="J102" s="8">
        <v>1223</v>
      </c>
      <c r="K102" s="8">
        <v>45.3</v>
      </c>
      <c r="L102">
        <v>0.12230000000000001</v>
      </c>
      <c r="O102">
        <v>0</v>
      </c>
      <c r="P102" s="8">
        <v>278.10000000000002</v>
      </c>
      <c r="Q102" s="8">
        <v>30.59</v>
      </c>
      <c r="R102">
        <v>2.7810000000000001E-2</v>
      </c>
      <c r="S102" s="8">
        <v>11200</v>
      </c>
      <c r="T102" s="8">
        <v>98.33</v>
      </c>
      <c r="U102">
        <v>1.1200000000000001</v>
      </c>
      <c r="V102" s="8">
        <v>14770</v>
      </c>
      <c r="W102" s="8">
        <v>117.2</v>
      </c>
      <c r="X102">
        <v>1.4770000000000001</v>
      </c>
      <c r="Y102" s="8">
        <v>3105</v>
      </c>
      <c r="Z102" s="8">
        <v>61.13</v>
      </c>
      <c r="AA102">
        <v>0.3105</v>
      </c>
      <c r="AD102">
        <v>0</v>
      </c>
    </row>
    <row r="104" spans="1:30" ht="15" thickBot="1" x14ac:dyDescent="0.4">
      <c r="G104" t="s">
        <v>18</v>
      </c>
      <c r="H104" t="s">
        <v>24</v>
      </c>
      <c r="J104" t="s">
        <v>1</v>
      </c>
      <c r="K104" t="s">
        <v>23</v>
      </c>
      <c r="M104" t="s">
        <v>7</v>
      </c>
      <c r="N104" t="s">
        <v>38</v>
      </c>
      <c r="P104" t="s">
        <v>16</v>
      </c>
      <c r="Q104" t="s">
        <v>39</v>
      </c>
      <c r="S104" t="s">
        <v>19</v>
      </c>
      <c r="T104" t="s">
        <v>41</v>
      </c>
      <c r="V104" t="s">
        <v>21</v>
      </c>
      <c r="W104" t="s">
        <v>42</v>
      </c>
      <c r="Y104" t="s">
        <v>44</v>
      </c>
      <c r="Z104" t="s">
        <v>45</v>
      </c>
      <c r="AB104" t="s">
        <v>47</v>
      </c>
      <c r="AC104" t="s">
        <v>48</v>
      </c>
    </row>
    <row r="105" spans="1:30" ht="15" thickBot="1" x14ac:dyDescent="0.4">
      <c r="A105" s="13" t="s">
        <v>30</v>
      </c>
      <c r="B105" s="13" t="s">
        <v>29</v>
      </c>
      <c r="C105" s="13" t="s">
        <v>31</v>
      </c>
      <c r="D105" s="13" t="s">
        <v>27</v>
      </c>
      <c r="E105" s="13" t="s">
        <v>25</v>
      </c>
      <c r="F105" s="25" t="s">
        <v>28</v>
      </c>
      <c r="G105" t="s">
        <v>18</v>
      </c>
      <c r="H105" t="s">
        <v>24</v>
      </c>
      <c r="I105" t="s">
        <v>55</v>
      </c>
      <c r="J105" t="s">
        <v>1</v>
      </c>
      <c r="K105" t="s">
        <v>23</v>
      </c>
      <c r="L105" t="s">
        <v>55</v>
      </c>
      <c r="M105" t="s">
        <v>7</v>
      </c>
      <c r="N105" t="s">
        <v>38</v>
      </c>
      <c r="O105" t="s">
        <v>55</v>
      </c>
      <c r="P105" t="s">
        <v>16</v>
      </c>
      <c r="Q105" t="s">
        <v>39</v>
      </c>
      <c r="R105" t="s">
        <v>55</v>
      </c>
      <c r="S105" t="s">
        <v>19</v>
      </c>
      <c r="T105" t="s">
        <v>41</v>
      </c>
      <c r="U105" t="s">
        <v>55</v>
      </c>
      <c r="V105" t="s">
        <v>21</v>
      </c>
      <c r="W105" t="s">
        <v>42</v>
      </c>
      <c r="X105" t="s">
        <v>55</v>
      </c>
      <c r="Y105" t="s">
        <v>44</v>
      </c>
      <c r="Z105" t="s">
        <v>45</v>
      </c>
      <c r="AA105" t="s">
        <v>55</v>
      </c>
      <c r="AB105" t="s">
        <v>47</v>
      </c>
      <c r="AC105" t="s">
        <v>48</v>
      </c>
      <c r="AD105" t="s">
        <v>55</v>
      </c>
    </row>
    <row r="106" spans="1:30" ht="15" thickBot="1" x14ac:dyDescent="0.4">
      <c r="A106" s="13" t="s">
        <v>52</v>
      </c>
      <c r="B106" s="13" t="s">
        <v>46</v>
      </c>
      <c r="C106" s="13" t="s">
        <v>49</v>
      </c>
      <c r="D106" s="13">
        <v>4.0795999999999999E-2</v>
      </c>
      <c r="E106" s="21">
        <v>44890</v>
      </c>
      <c r="F106" s="25">
        <v>2.7263773148148149</v>
      </c>
      <c r="G106" s="8" t="s">
        <v>53</v>
      </c>
      <c r="H106" s="8" t="s">
        <v>54</v>
      </c>
      <c r="I106" t="s">
        <v>55</v>
      </c>
      <c r="J106" s="8" t="s">
        <v>53</v>
      </c>
      <c r="K106" s="8" t="s">
        <v>54</v>
      </c>
      <c r="L106" t="s">
        <v>55</v>
      </c>
      <c r="M106" s="8" t="s">
        <v>53</v>
      </c>
      <c r="N106" s="8" t="s">
        <v>54</v>
      </c>
      <c r="O106" t="s">
        <v>55</v>
      </c>
      <c r="P106" s="8" t="s">
        <v>53</v>
      </c>
      <c r="Q106" s="8" t="s">
        <v>54</v>
      </c>
      <c r="R106" t="s">
        <v>55</v>
      </c>
      <c r="S106" s="8" t="s">
        <v>53</v>
      </c>
      <c r="T106" s="8" t="s">
        <v>54</v>
      </c>
      <c r="U106" t="s">
        <v>55</v>
      </c>
      <c r="V106" s="8" t="s">
        <v>53</v>
      </c>
      <c r="W106" s="8" t="s">
        <v>54</v>
      </c>
      <c r="X106" t="s">
        <v>55</v>
      </c>
      <c r="Y106" s="8" t="s">
        <v>53</v>
      </c>
      <c r="Z106" s="8" t="s">
        <v>54</v>
      </c>
      <c r="AA106" t="s">
        <v>55</v>
      </c>
      <c r="AB106" s="8" t="s">
        <v>53</v>
      </c>
      <c r="AC106" s="8" t="s">
        <v>54</v>
      </c>
      <c r="AD106" t="s">
        <v>55</v>
      </c>
    </row>
    <row r="107" spans="1:30" ht="15" thickBot="1" x14ac:dyDescent="0.4">
      <c r="A107" s="10" t="s">
        <v>69</v>
      </c>
      <c r="B107" s="11" t="s">
        <v>46</v>
      </c>
      <c r="C107" s="11" t="s">
        <v>49</v>
      </c>
      <c r="D107" s="11">
        <v>1</v>
      </c>
      <c r="E107" s="20">
        <v>44904</v>
      </c>
      <c r="F107" s="26">
        <v>0.11574074074074074</v>
      </c>
      <c r="G107" s="8">
        <v>196.4</v>
      </c>
      <c r="H107" s="8">
        <v>15.06</v>
      </c>
      <c r="I107">
        <v>1.9640000000000001E-2</v>
      </c>
      <c r="J107" s="8">
        <v>1223</v>
      </c>
      <c r="K107" s="8">
        <v>45.3</v>
      </c>
      <c r="L107">
        <v>0.12230000000000001</v>
      </c>
      <c r="O107">
        <v>0</v>
      </c>
      <c r="P107" s="8">
        <v>278.10000000000002</v>
      </c>
      <c r="Q107" s="8">
        <v>30.59</v>
      </c>
      <c r="R107">
        <v>2.7810000000000001E-2</v>
      </c>
      <c r="S107" s="8">
        <v>11200</v>
      </c>
      <c r="T107" s="8">
        <v>98.33</v>
      </c>
      <c r="U107">
        <v>1.1200000000000001</v>
      </c>
      <c r="V107" s="8">
        <v>14770</v>
      </c>
      <c r="W107" s="8">
        <v>117.2</v>
      </c>
      <c r="X107">
        <v>1.4770000000000001</v>
      </c>
      <c r="Y107" s="8">
        <v>3105</v>
      </c>
      <c r="Z107" s="8">
        <v>61.13</v>
      </c>
      <c r="AA107">
        <v>0.3105</v>
      </c>
      <c r="AD107">
        <v>0</v>
      </c>
    </row>
    <row r="109" spans="1:30" ht="15" thickBot="1" x14ac:dyDescent="0.4">
      <c r="G109" t="s">
        <v>18</v>
      </c>
      <c r="H109" t="s">
        <v>24</v>
      </c>
      <c r="J109" t="s">
        <v>1</v>
      </c>
      <c r="K109" t="s">
        <v>23</v>
      </c>
      <c r="M109" t="s">
        <v>7</v>
      </c>
      <c r="N109" t="s">
        <v>38</v>
      </c>
      <c r="P109" t="s">
        <v>16</v>
      </c>
      <c r="Q109" t="s">
        <v>39</v>
      </c>
      <c r="S109" t="s">
        <v>19</v>
      </c>
      <c r="T109" t="s">
        <v>41</v>
      </c>
      <c r="V109" t="s">
        <v>21</v>
      </c>
      <c r="W109" t="s">
        <v>42</v>
      </c>
      <c r="Y109" t="s">
        <v>44</v>
      </c>
      <c r="Z109" t="s">
        <v>45</v>
      </c>
      <c r="AB109" t="s">
        <v>47</v>
      </c>
      <c r="AC109" t="s">
        <v>48</v>
      </c>
    </row>
    <row r="110" spans="1:30" ht="15" thickBot="1" x14ac:dyDescent="0.4">
      <c r="A110" s="13" t="s">
        <v>30</v>
      </c>
      <c r="B110" s="13" t="s">
        <v>29</v>
      </c>
      <c r="C110" s="13" t="s">
        <v>31</v>
      </c>
      <c r="D110" s="13" t="s">
        <v>27</v>
      </c>
      <c r="E110" s="13" t="s">
        <v>25</v>
      </c>
      <c r="F110" s="25" t="s">
        <v>28</v>
      </c>
      <c r="G110" t="s">
        <v>18</v>
      </c>
      <c r="H110" t="s">
        <v>24</v>
      </c>
      <c r="I110" t="s">
        <v>55</v>
      </c>
      <c r="J110" t="s">
        <v>1</v>
      </c>
      <c r="K110" t="s">
        <v>23</v>
      </c>
      <c r="L110" t="s">
        <v>55</v>
      </c>
      <c r="M110" t="s">
        <v>7</v>
      </c>
      <c r="N110" t="s">
        <v>38</v>
      </c>
      <c r="O110" t="s">
        <v>55</v>
      </c>
      <c r="P110" t="s">
        <v>16</v>
      </c>
      <c r="Q110" t="s">
        <v>39</v>
      </c>
      <c r="R110" t="s">
        <v>55</v>
      </c>
      <c r="S110" t="s">
        <v>19</v>
      </c>
      <c r="T110" t="s">
        <v>41</v>
      </c>
      <c r="U110" t="s">
        <v>55</v>
      </c>
      <c r="V110" t="s">
        <v>21</v>
      </c>
      <c r="W110" t="s">
        <v>42</v>
      </c>
      <c r="X110" t="s">
        <v>55</v>
      </c>
      <c r="Y110" t="s">
        <v>44</v>
      </c>
      <c r="Z110" t="s">
        <v>45</v>
      </c>
      <c r="AA110" t="s">
        <v>55</v>
      </c>
      <c r="AB110" t="s">
        <v>47</v>
      </c>
      <c r="AC110" t="s">
        <v>48</v>
      </c>
      <c r="AD110" t="s">
        <v>55</v>
      </c>
    </row>
    <row r="111" spans="1:30" ht="15" thickBot="1" x14ac:dyDescent="0.4">
      <c r="A111" s="13" t="s">
        <v>52</v>
      </c>
      <c r="B111" s="13" t="s">
        <v>46</v>
      </c>
      <c r="C111" s="13" t="s">
        <v>49</v>
      </c>
      <c r="D111" s="13">
        <v>4.0795999999999999E-2</v>
      </c>
      <c r="E111" s="21">
        <v>44890</v>
      </c>
      <c r="F111" s="25">
        <v>2.7263773148148149</v>
      </c>
      <c r="G111" s="8" t="s">
        <v>53</v>
      </c>
      <c r="H111" s="8" t="s">
        <v>54</v>
      </c>
      <c r="I111" t="s">
        <v>55</v>
      </c>
      <c r="J111" s="8" t="s">
        <v>53</v>
      </c>
      <c r="K111" s="8" t="s">
        <v>54</v>
      </c>
      <c r="L111" t="s">
        <v>55</v>
      </c>
      <c r="M111" s="8" t="s">
        <v>53</v>
      </c>
      <c r="N111" s="8" t="s">
        <v>54</v>
      </c>
      <c r="O111" t="s">
        <v>55</v>
      </c>
      <c r="P111" s="8" t="s">
        <v>53</v>
      </c>
      <c r="Q111" s="8" t="s">
        <v>54</v>
      </c>
      <c r="R111" t="s">
        <v>55</v>
      </c>
      <c r="S111" s="8" t="s">
        <v>53</v>
      </c>
      <c r="T111" s="8" t="s">
        <v>54</v>
      </c>
      <c r="U111" t="s">
        <v>55</v>
      </c>
      <c r="V111" s="8" t="s">
        <v>53</v>
      </c>
      <c r="W111" s="8" t="s">
        <v>54</v>
      </c>
      <c r="X111" t="s">
        <v>55</v>
      </c>
      <c r="Y111" s="8" t="s">
        <v>53</v>
      </c>
      <c r="Z111" s="8" t="s">
        <v>54</v>
      </c>
      <c r="AA111" t="s">
        <v>55</v>
      </c>
      <c r="AB111" s="8" t="s">
        <v>53</v>
      </c>
      <c r="AC111" s="8" t="s">
        <v>54</v>
      </c>
      <c r="AD111" t="s">
        <v>55</v>
      </c>
    </row>
    <row r="112" spans="1:30" ht="15" thickBot="1" x14ac:dyDescent="0.4">
      <c r="A112" s="10" t="s">
        <v>69</v>
      </c>
      <c r="B112" s="11" t="s">
        <v>46</v>
      </c>
      <c r="C112" s="11" t="s">
        <v>49</v>
      </c>
      <c r="D112" s="11">
        <v>1</v>
      </c>
      <c r="E112" s="20">
        <v>44904</v>
      </c>
      <c r="F112" s="26">
        <v>0.11574074074074074</v>
      </c>
      <c r="G112" s="8">
        <v>196.4</v>
      </c>
      <c r="H112" s="8">
        <v>15.06</v>
      </c>
      <c r="I112">
        <v>1.9640000000000001E-2</v>
      </c>
      <c r="J112" s="8">
        <v>1223</v>
      </c>
      <c r="K112" s="8">
        <v>45.3</v>
      </c>
      <c r="L112">
        <v>0.12230000000000001</v>
      </c>
      <c r="O112">
        <v>0</v>
      </c>
      <c r="P112" s="8">
        <v>278.10000000000002</v>
      </c>
      <c r="Q112" s="8">
        <v>30.59</v>
      </c>
      <c r="R112">
        <v>2.7810000000000001E-2</v>
      </c>
      <c r="S112" s="8">
        <v>11200</v>
      </c>
      <c r="T112" s="8">
        <v>98.33</v>
      </c>
      <c r="U112">
        <v>1.1200000000000001</v>
      </c>
      <c r="V112" s="8">
        <v>14770</v>
      </c>
      <c r="W112" s="8">
        <v>117.2</v>
      </c>
      <c r="X112">
        <v>1.4770000000000001</v>
      </c>
      <c r="Y112" s="8">
        <v>3105</v>
      </c>
      <c r="Z112" s="8">
        <v>61.13</v>
      </c>
      <c r="AA112">
        <v>0.3105</v>
      </c>
      <c r="AD112">
        <v>0</v>
      </c>
    </row>
    <row r="114" spans="1:30" ht="15" thickBot="1" x14ac:dyDescent="0.4">
      <c r="G114" t="s">
        <v>18</v>
      </c>
      <c r="H114" t="s">
        <v>24</v>
      </c>
      <c r="J114" t="s">
        <v>1</v>
      </c>
      <c r="K114" t="s">
        <v>23</v>
      </c>
      <c r="M114" t="s">
        <v>7</v>
      </c>
      <c r="N114" t="s">
        <v>38</v>
      </c>
      <c r="P114" t="s">
        <v>16</v>
      </c>
      <c r="Q114" t="s">
        <v>39</v>
      </c>
      <c r="S114" t="s">
        <v>19</v>
      </c>
      <c r="T114" t="s">
        <v>41</v>
      </c>
      <c r="V114" t="s">
        <v>21</v>
      </c>
      <c r="W114" t="s">
        <v>42</v>
      </c>
      <c r="Y114" t="s">
        <v>44</v>
      </c>
      <c r="Z114" t="s">
        <v>45</v>
      </c>
      <c r="AB114" t="s">
        <v>47</v>
      </c>
      <c r="AC114" t="s">
        <v>48</v>
      </c>
    </row>
    <row r="115" spans="1:30" ht="15" thickBot="1" x14ac:dyDescent="0.4">
      <c r="A115" s="13" t="s">
        <v>30</v>
      </c>
      <c r="B115" s="13" t="s">
        <v>29</v>
      </c>
      <c r="C115" s="13" t="s">
        <v>31</v>
      </c>
      <c r="D115" s="13" t="s">
        <v>27</v>
      </c>
      <c r="E115" s="13" t="s">
        <v>25</v>
      </c>
      <c r="F115" s="25" t="s">
        <v>28</v>
      </c>
      <c r="G115" t="s">
        <v>18</v>
      </c>
      <c r="H115" t="s">
        <v>24</v>
      </c>
      <c r="I115" t="s">
        <v>55</v>
      </c>
      <c r="J115" t="s">
        <v>1</v>
      </c>
      <c r="K115" t="s">
        <v>23</v>
      </c>
      <c r="L115" t="s">
        <v>55</v>
      </c>
      <c r="M115" t="s">
        <v>7</v>
      </c>
      <c r="N115" t="s">
        <v>38</v>
      </c>
      <c r="O115" t="s">
        <v>55</v>
      </c>
      <c r="P115" t="s">
        <v>16</v>
      </c>
      <c r="Q115" t="s">
        <v>39</v>
      </c>
      <c r="R115" t="s">
        <v>55</v>
      </c>
      <c r="S115" t="s">
        <v>19</v>
      </c>
      <c r="T115" t="s">
        <v>41</v>
      </c>
      <c r="U115" t="s">
        <v>55</v>
      </c>
      <c r="V115" t="s">
        <v>21</v>
      </c>
      <c r="W115" t="s">
        <v>42</v>
      </c>
      <c r="X115" t="s">
        <v>55</v>
      </c>
      <c r="Y115" t="s">
        <v>44</v>
      </c>
      <c r="Z115" t="s">
        <v>45</v>
      </c>
      <c r="AA115" t="s">
        <v>55</v>
      </c>
      <c r="AB115" t="s">
        <v>47</v>
      </c>
      <c r="AC115" t="s">
        <v>48</v>
      </c>
      <c r="AD115" t="s">
        <v>55</v>
      </c>
    </row>
    <row r="116" spans="1:30" ht="15" thickBot="1" x14ac:dyDescent="0.4">
      <c r="A116" s="13" t="s">
        <v>52</v>
      </c>
      <c r="B116" s="13" t="s">
        <v>46</v>
      </c>
      <c r="C116" s="13" t="s">
        <v>49</v>
      </c>
      <c r="D116" s="13">
        <v>4.0795999999999999E-2</v>
      </c>
      <c r="E116" s="21">
        <v>44890</v>
      </c>
      <c r="F116" s="25">
        <v>2.7263773148148149</v>
      </c>
      <c r="G116" s="8" t="s">
        <v>53</v>
      </c>
      <c r="H116" s="8" t="s">
        <v>54</v>
      </c>
      <c r="I116" t="s">
        <v>55</v>
      </c>
      <c r="J116" s="8" t="s">
        <v>53</v>
      </c>
      <c r="K116" s="8" t="s">
        <v>54</v>
      </c>
      <c r="L116" t="s">
        <v>55</v>
      </c>
      <c r="M116" s="8" t="s">
        <v>53</v>
      </c>
      <c r="N116" s="8" t="s">
        <v>54</v>
      </c>
      <c r="O116" t="s">
        <v>55</v>
      </c>
      <c r="P116" s="8" t="s">
        <v>53</v>
      </c>
      <c r="Q116" s="8" t="s">
        <v>54</v>
      </c>
      <c r="R116" t="s">
        <v>55</v>
      </c>
      <c r="S116" s="8" t="s">
        <v>53</v>
      </c>
      <c r="T116" s="8" t="s">
        <v>54</v>
      </c>
      <c r="U116" t="s">
        <v>55</v>
      </c>
      <c r="V116" s="8" t="s">
        <v>53</v>
      </c>
      <c r="W116" s="8" t="s">
        <v>54</v>
      </c>
      <c r="X116" t="s">
        <v>55</v>
      </c>
      <c r="Y116" s="8" t="s">
        <v>53</v>
      </c>
      <c r="Z116" s="8" t="s">
        <v>54</v>
      </c>
      <c r="AA116" t="s">
        <v>55</v>
      </c>
      <c r="AB116" s="8" t="s">
        <v>53</v>
      </c>
      <c r="AC116" s="8" t="s">
        <v>54</v>
      </c>
      <c r="AD116" t="s">
        <v>55</v>
      </c>
    </row>
    <row r="117" spans="1:30" ht="15" thickBot="1" x14ac:dyDescent="0.4">
      <c r="A117" s="10" t="s">
        <v>69</v>
      </c>
      <c r="B117" s="11" t="s">
        <v>46</v>
      </c>
      <c r="C117" s="11" t="s">
        <v>49</v>
      </c>
      <c r="D117" s="11">
        <v>1</v>
      </c>
      <c r="E117" s="20">
        <v>44904</v>
      </c>
      <c r="F117" s="26">
        <v>0.11574074074074074</v>
      </c>
      <c r="G117" s="8">
        <v>196.4</v>
      </c>
      <c r="H117" s="8">
        <v>15.06</v>
      </c>
      <c r="I117">
        <v>1.9640000000000001E-2</v>
      </c>
      <c r="J117" s="8">
        <v>1223</v>
      </c>
      <c r="K117" s="8">
        <v>45.3</v>
      </c>
      <c r="L117">
        <v>0.12230000000000001</v>
      </c>
      <c r="O117">
        <v>0</v>
      </c>
      <c r="P117" s="8">
        <v>278.10000000000002</v>
      </c>
      <c r="Q117" s="8">
        <v>30.59</v>
      </c>
      <c r="R117">
        <v>2.7810000000000001E-2</v>
      </c>
      <c r="S117" s="8">
        <v>11200</v>
      </c>
      <c r="T117" s="8">
        <v>98.33</v>
      </c>
      <c r="U117">
        <v>1.1200000000000001</v>
      </c>
      <c r="V117" s="8">
        <v>14770</v>
      </c>
      <c r="W117" s="8">
        <v>117.2</v>
      </c>
      <c r="X117">
        <v>1.4770000000000001</v>
      </c>
      <c r="Y117" s="8">
        <v>3105</v>
      </c>
      <c r="Z117" s="8">
        <v>61.13</v>
      </c>
      <c r="AA117">
        <v>0.3105</v>
      </c>
      <c r="AD11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ImportRPTDataToExcel">
                <anchor moveWithCells="1" sizeWithCells="1">
                  <from>
                    <xdr:col>1</xdr:col>
                    <xdr:colOff>520700</xdr:colOff>
                    <xdr:row>1</xdr:row>
                    <xdr:rowOff>31750</xdr:rowOff>
                  </from>
                  <to>
                    <xdr:col>6</xdr:col>
                    <xdr:colOff>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FB53E-2CA3-4178-A055-B17056AB0CBD}">
  <sheetPr codeName="Sheet6"/>
  <dimension ref="A1:B15"/>
  <sheetViews>
    <sheetView workbookViewId="0">
      <selection activeCell="B11" sqref="B11"/>
    </sheetView>
  </sheetViews>
  <sheetFormatPr defaultRowHeight="14.5" x14ac:dyDescent="0.35"/>
  <cols>
    <col min="1" max="1" width="43.54296875" bestFit="1" customWidth="1"/>
    <col min="2" max="2" width="18.54296875" bestFit="1" customWidth="1"/>
  </cols>
  <sheetData>
    <row r="1" spans="1:2" x14ac:dyDescent="0.35">
      <c r="A1" t="s">
        <v>0</v>
      </c>
      <c r="B1" t="s">
        <v>4</v>
      </c>
    </row>
    <row r="2" spans="1:2" x14ac:dyDescent="0.35">
      <c r="A2" t="s">
        <v>18</v>
      </c>
      <c r="B2" t="s">
        <v>24</v>
      </c>
    </row>
    <row r="3" spans="1:2" x14ac:dyDescent="0.35">
      <c r="A3" t="s">
        <v>1</v>
      </c>
      <c r="B3" t="s">
        <v>23</v>
      </c>
    </row>
    <row r="4" spans="1:2" x14ac:dyDescent="0.35">
      <c r="A4" t="s">
        <v>2</v>
      </c>
      <c r="B4" t="s">
        <v>36</v>
      </c>
    </row>
    <row r="5" spans="1:2" x14ac:dyDescent="0.35">
      <c r="A5" t="s">
        <v>7</v>
      </c>
      <c r="B5" t="s">
        <v>38</v>
      </c>
    </row>
    <row r="6" spans="1:2" x14ac:dyDescent="0.35">
      <c r="A6" t="s">
        <v>9</v>
      </c>
      <c r="B6" t="s">
        <v>73</v>
      </c>
    </row>
    <row r="7" spans="1:2" x14ac:dyDescent="0.35">
      <c r="A7" t="s">
        <v>16</v>
      </c>
      <c r="B7" t="s">
        <v>39</v>
      </c>
    </row>
    <row r="8" spans="1:2" x14ac:dyDescent="0.35">
      <c r="A8" t="s">
        <v>17</v>
      </c>
      <c r="B8" t="s">
        <v>40</v>
      </c>
    </row>
    <row r="9" spans="1:2" x14ac:dyDescent="0.35">
      <c r="A9" t="s">
        <v>19</v>
      </c>
      <c r="B9" t="s">
        <v>41</v>
      </c>
    </row>
    <row r="10" spans="1:2" x14ac:dyDescent="0.35">
      <c r="A10" t="s">
        <v>63</v>
      </c>
      <c r="B10" t="s">
        <v>64</v>
      </c>
    </row>
    <row r="11" spans="1:2" x14ac:dyDescent="0.35">
      <c r="A11" t="s">
        <v>65</v>
      </c>
      <c r="B11" t="s">
        <v>66</v>
      </c>
    </row>
    <row r="12" spans="1:2" x14ac:dyDescent="0.35">
      <c r="A12" t="s">
        <v>21</v>
      </c>
      <c r="B12" t="s">
        <v>42</v>
      </c>
    </row>
    <row r="13" spans="1:2" x14ac:dyDescent="0.35">
      <c r="A13" t="s">
        <v>22</v>
      </c>
      <c r="B13" t="s">
        <v>43</v>
      </c>
    </row>
    <row r="14" spans="1:2" x14ac:dyDescent="0.35">
      <c r="A14" t="s">
        <v>44</v>
      </c>
      <c r="B14" t="s">
        <v>45</v>
      </c>
    </row>
    <row r="15" spans="1:2" x14ac:dyDescent="0.35">
      <c r="A15" t="s">
        <v>47</v>
      </c>
      <c r="B15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104EE-6878-4150-A2EB-C0085EC33D8B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20"/>
  <sheetViews>
    <sheetView workbookViewId="0">
      <selection activeCell="F31" sqref="F31"/>
    </sheetView>
  </sheetViews>
  <sheetFormatPr defaultRowHeight="14.5" x14ac:dyDescent="0.35"/>
  <sheetData>
    <row r="1" spans="1:2" x14ac:dyDescent="0.35">
      <c r="A1" t="s">
        <v>1</v>
      </c>
      <c r="B1">
        <v>46.54</v>
      </c>
    </row>
    <row r="2" spans="1:2" x14ac:dyDescent="0.35">
      <c r="A2" t="s">
        <v>6</v>
      </c>
      <c r="B2">
        <v>54.54</v>
      </c>
    </row>
    <row r="3" spans="1:2" x14ac:dyDescent="0.35">
      <c r="A3" t="s">
        <v>2</v>
      </c>
      <c r="B3">
        <v>661.65700000000004</v>
      </c>
    </row>
    <row r="4" spans="1:2" x14ac:dyDescent="0.35">
      <c r="A4" t="s">
        <v>7</v>
      </c>
      <c r="B4">
        <v>911.2</v>
      </c>
    </row>
    <row r="5" spans="1:2" x14ac:dyDescent="0.35">
      <c r="A5" t="s">
        <v>8</v>
      </c>
      <c r="B5">
        <v>604.72</v>
      </c>
    </row>
    <row r="6" spans="1:2" x14ac:dyDescent="0.35">
      <c r="A6" t="s">
        <v>9</v>
      </c>
      <c r="B6">
        <v>795.86</v>
      </c>
    </row>
    <row r="7" spans="1:2" x14ac:dyDescent="0.35">
      <c r="A7" t="s">
        <v>10</v>
      </c>
      <c r="B7">
        <v>834.85</v>
      </c>
    </row>
    <row r="8" spans="1:2" x14ac:dyDescent="0.35">
      <c r="A8" t="s">
        <v>11</v>
      </c>
      <c r="B8">
        <v>898.04200000000003</v>
      </c>
    </row>
    <row r="9" spans="1:2" x14ac:dyDescent="0.35">
      <c r="A9" t="s">
        <v>12</v>
      </c>
      <c r="B9">
        <v>1836.07</v>
      </c>
    </row>
    <row r="10" spans="1:2" x14ac:dyDescent="0.35">
      <c r="A10" t="s">
        <v>13</v>
      </c>
      <c r="B10">
        <v>356.0129</v>
      </c>
    </row>
    <row r="11" spans="1:2" x14ac:dyDescent="0.35">
      <c r="A11" t="s">
        <v>3</v>
      </c>
      <c r="B11">
        <v>1173.2280000000001</v>
      </c>
    </row>
    <row r="12" spans="1:2" x14ac:dyDescent="0.35">
      <c r="A12" t="s">
        <v>14</v>
      </c>
      <c r="B12">
        <v>1332.492</v>
      </c>
    </row>
    <row r="13" spans="1:2" x14ac:dyDescent="0.35">
      <c r="A13" t="s">
        <v>15</v>
      </c>
      <c r="B13">
        <v>88.033600000000007</v>
      </c>
    </row>
    <row r="14" spans="1:2" x14ac:dyDescent="0.35">
      <c r="A14" t="s">
        <v>16</v>
      </c>
      <c r="B14">
        <v>238.63200000000001</v>
      </c>
    </row>
    <row r="15" spans="1:2" x14ac:dyDescent="0.35">
      <c r="A15" t="s">
        <v>17</v>
      </c>
      <c r="B15">
        <v>727.33</v>
      </c>
    </row>
    <row r="16" spans="1:2" x14ac:dyDescent="0.35">
      <c r="A16" t="s">
        <v>18</v>
      </c>
      <c r="B16">
        <v>1460.8219999999999</v>
      </c>
    </row>
    <row r="17" spans="1:2" x14ac:dyDescent="0.35">
      <c r="A17" t="s">
        <v>19</v>
      </c>
      <c r="B17">
        <v>609.31200000000001</v>
      </c>
    </row>
    <row r="18" spans="1:2" x14ac:dyDescent="0.35">
      <c r="A18" t="s">
        <v>20</v>
      </c>
      <c r="B18">
        <v>295.22399999999999</v>
      </c>
    </row>
    <row r="19" spans="1:2" x14ac:dyDescent="0.35">
      <c r="A19" t="s">
        <v>21</v>
      </c>
      <c r="B19">
        <v>351.93200000000002</v>
      </c>
    </row>
    <row r="20" spans="1:2" x14ac:dyDescent="0.35">
      <c r="A20" t="s">
        <v>22</v>
      </c>
      <c r="B20">
        <v>241.99700000000001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22"/>
  <sheetViews>
    <sheetView workbookViewId="0">
      <selection activeCell="D37" sqref="D37"/>
    </sheetView>
  </sheetViews>
  <sheetFormatPr defaultRowHeight="14.5" x14ac:dyDescent="0.35"/>
  <sheetData>
    <row r="1" spans="1:4" x14ac:dyDescent="0.35">
      <c r="A1" s="2"/>
      <c r="B1" s="2"/>
      <c r="C1" s="2"/>
      <c r="D1" s="2"/>
    </row>
    <row r="2" spans="1:4" x14ac:dyDescent="0.35">
      <c r="A2" s="3"/>
      <c r="B2" s="3"/>
      <c r="C2" s="2"/>
      <c r="D2" s="2"/>
    </row>
    <row r="3" spans="1:4" x14ac:dyDescent="0.35">
      <c r="A3" s="3"/>
      <c r="B3" s="3"/>
      <c r="C3" s="2"/>
      <c r="D3" s="2"/>
    </row>
    <row r="4" spans="1:4" x14ac:dyDescent="0.35">
      <c r="A4" s="3"/>
      <c r="B4" s="3"/>
      <c r="C4" s="2"/>
      <c r="D4" s="2"/>
    </row>
    <row r="5" spans="1:4" x14ac:dyDescent="0.35">
      <c r="A5" s="3"/>
      <c r="B5" s="3"/>
      <c r="C5" s="2"/>
      <c r="D5" s="2"/>
    </row>
    <row r="6" spans="1:4" x14ac:dyDescent="0.35">
      <c r="A6" s="3"/>
      <c r="B6" s="3"/>
      <c r="C6" s="2"/>
      <c r="D6" s="2"/>
    </row>
    <row r="7" spans="1:4" x14ac:dyDescent="0.35">
      <c r="A7" s="3"/>
      <c r="B7" s="3"/>
      <c r="C7" s="2"/>
      <c r="D7" s="2"/>
    </row>
    <row r="8" spans="1:4" x14ac:dyDescent="0.35">
      <c r="A8" s="3"/>
      <c r="B8" s="3"/>
      <c r="C8" s="2"/>
      <c r="D8" s="2"/>
    </row>
    <row r="9" spans="1:4" x14ac:dyDescent="0.35">
      <c r="A9" s="3"/>
      <c r="B9" s="3"/>
      <c r="C9" s="2"/>
      <c r="D9" s="2"/>
    </row>
    <row r="10" spans="1:4" x14ac:dyDescent="0.35">
      <c r="A10" s="3"/>
      <c r="B10" s="3"/>
      <c r="C10" s="2"/>
      <c r="D10" s="2"/>
    </row>
    <row r="11" spans="1:4" x14ac:dyDescent="0.35">
      <c r="A11" s="3"/>
      <c r="B11" s="3"/>
      <c r="C11" s="2"/>
      <c r="D11" s="2"/>
    </row>
    <row r="12" spans="1:4" x14ac:dyDescent="0.35">
      <c r="A12" s="3"/>
      <c r="B12" s="3"/>
      <c r="C12" s="2"/>
      <c r="D12" s="2"/>
    </row>
    <row r="13" spans="1:4" x14ac:dyDescent="0.35">
      <c r="A13" s="3"/>
      <c r="B13" s="3"/>
      <c r="C13" s="2"/>
      <c r="D13" s="2"/>
    </row>
    <row r="14" spans="1:4" x14ac:dyDescent="0.35">
      <c r="A14" s="3"/>
      <c r="B14" s="3"/>
      <c r="C14" s="2"/>
      <c r="D14" s="2"/>
    </row>
    <row r="15" spans="1:4" x14ac:dyDescent="0.35">
      <c r="A15" s="2"/>
      <c r="B15" s="3"/>
      <c r="C15" s="2"/>
      <c r="D15" s="2"/>
    </row>
    <row r="16" spans="1:4" x14ac:dyDescent="0.35">
      <c r="A16" s="2"/>
      <c r="B16" s="2"/>
      <c r="C16" s="2"/>
      <c r="D16" s="2"/>
    </row>
    <row r="17" spans="1:4" x14ac:dyDescent="0.35">
      <c r="A17" s="2"/>
      <c r="B17" s="2"/>
      <c r="C17" s="2"/>
      <c r="D17" s="3"/>
    </row>
    <row r="18" spans="1:4" x14ac:dyDescent="0.35">
      <c r="A18" s="2"/>
      <c r="B18" s="2"/>
      <c r="C18" s="2"/>
      <c r="D18" s="2"/>
    </row>
    <row r="19" spans="1:4" x14ac:dyDescent="0.35">
      <c r="A19" s="2"/>
      <c r="B19" s="2"/>
      <c r="C19" s="2"/>
      <c r="D19" s="2"/>
    </row>
    <row r="20" spans="1:4" x14ac:dyDescent="0.35">
      <c r="A20" s="2"/>
      <c r="B20" s="2"/>
      <c r="C20" s="2"/>
      <c r="D20" s="2"/>
    </row>
    <row r="21" spans="1:4" x14ac:dyDescent="0.35">
      <c r="A21" s="2"/>
      <c r="B21" s="2"/>
      <c r="C21" s="2"/>
      <c r="D21" s="2"/>
    </row>
    <row r="22" spans="1:4" x14ac:dyDescent="0.35">
      <c r="A22" s="2"/>
      <c r="B22" s="2"/>
      <c r="C22" s="2"/>
      <c r="D22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184150</xdr:rowOff>
                  </from>
                  <to>
                    <xdr:col>2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38100</xdr:colOff>
                    <xdr:row>3</xdr:row>
                    <xdr:rowOff>6350</xdr:rowOff>
                  </from>
                  <to>
                    <xdr:col>2</xdr:col>
                    <xdr:colOff>482600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3</xdr:row>
                    <xdr:rowOff>184150</xdr:rowOff>
                  </from>
                  <to>
                    <xdr:col>2</xdr:col>
                    <xdr:colOff>463550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 macro="[0]!CheckBox5_Click">
                <anchor moveWithCells="1">
                  <from>
                    <xdr:col>0</xdr:col>
                    <xdr:colOff>38100</xdr:colOff>
                    <xdr:row>5</xdr:row>
                    <xdr:rowOff>184150</xdr:rowOff>
                  </from>
                  <to>
                    <xdr:col>2</xdr:col>
                    <xdr:colOff>457200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7</xdr:row>
                    <xdr:rowOff>25400</xdr:rowOff>
                  </from>
                  <to>
                    <xdr:col>2</xdr:col>
                    <xdr:colOff>463550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heck Box 6">
              <controlPr defaultSize="0" autoFill="0" autoLine="0" autoPict="0">
                <anchor moveWithCells="1">
                  <from>
                    <xdr:col>0</xdr:col>
                    <xdr:colOff>38100</xdr:colOff>
                    <xdr:row>12</xdr:row>
                    <xdr:rowOff>184150</xdr:rowOff>
                  </from>
                  <to>
                    <xdr:col>2</xdr:col>
                    <xdr:colOff>444500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heck Box 7">
              <controlPr defaultSize="0" autoFill="0" autoLine="0" autoPict="0">
                <anchor moveWithCells="1">
                  <from>
                    <xdr:col>0</xdr:col>
                    <xdr:colOff>38100</xdr:colOff>
                    <xdr:row>8</xdr:row>
                    <xdr:rowOff>0</xdr:rowOff>
                  </from>
                  <to>
                    <xdr:col>2</xdr:col>
                    <xdr:colOff>457200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heck Box 8">
              <controlPr defaultSize="0" autoFill="0" autoLine="0" autoPict="0">
                <anchor moveWithCells="1">
                  <from>
                    <xdr:col>0</xdr:col>
                    <xdr:colOff>38100</xdr:colOff>
                    <xdr:row>8</xdr:row>
                    <xdr:rowOff>190500</xdr:rowOff>
                  </from>
                  <to>
                    <xdr:col>2</xdr:col>
                    <xdr:colOff>457200</xdr:colOff>
                    <xdr:row>10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Check Box 9">
              <controlPr defaultSize="0" autoFill="0" autoLine="0" autoPict="0">
                <anchor moveWithCells="1">
                  <from>
                    <xdr:col>0</xdr:col>
                    <xdr:colOff>38100</xdr:colOff>
                    <xdr:row>9</xdr:row>
                    <xdr:rowOff>184150</xdr:rowOff>
                  </from>
                  <to>
                    <xdr:col>2</xdr:col>
                    <xdr:colOff>444500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Check Box 10">
              <controlPr defaultSize="0" autoFill="0" autoLine="0" autoPict="0">
                <anchor moveWithCells="1">
                  <from>
                    <xdr:col>0</xdr:col>
                    <xdr:colOff>38100</xdr:colOff>
                    <xdr:row>12</xdr:row>
                    <xdr:rowOff>25400</xdr:rowOff>
                  </from>
                  <to>
                    <xdr:col>2</xdr:col>
                    <xdr:colOff>444500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Check Box 11">
              <controlPr defaultSize="0" autoFill="0" autoLine="0" autoPict="0">
                <anchor moveWithCells="1">
                  <from>
                    <xdr:col>0</xdr:col>
                    <xdr:colOff>38100</xdr:colOff>
                    <xdr:row>4</xdr:row>
                    <xdr:rowOff>184150</xdr:rowOff>
                  </from>
                  <to>
                    <xdr:col>2</xdr:col>
                    <xdr:colOff>450850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Check Box 12">
              <controlPr defaultSize="0" autoFill="0" autoLine="0" autoPict="0">
                <anchor moveWithCells="1">
                  <from>
                    <xdr:col>0</xdr:col>
                    <xdr:colOff>38100</xdr:colOff>
                    <xdr:row>11</xdr:row>
                    <xdr:rowOff>25400</xdr:rowOff>
                  </from>
                  <to>
                    <xdr:col>2</xdr:col>
                    <xdr:colOff>444500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Check Box 13">
              <controlPr defaultSize="0" autoFill="0" autoLine="0" autoPict="0">
                <anchor moveWithCells="1">
                  <from>
                    <xdr:col>0</xdr:col>
                    <xdr:colOff>38100</xdr:colOff>
                    <xdr:row>14</xdr:row>
                    <xdr:rowOff>184150</xdr:rowOff>
                  </from>
                  <to>
                    <xdr:col>2</xdr:col>
                    <xdr:colOff>444500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Check Box 14">
              <controlPr defaultSize="0" autoFill="0" autoLine="0" autoPict="0">
                <anchor moveWithCells="1">
                  <from>
                    <xdr:col>0</xdr:col>
                    <xdr:colOff>38100</xdr:colOff>
                    <xdr:row>16</xdr:row>
                    <xdr:rowOff>184150</xdr:rowOff>
                  </from>
                  <to>
                    <xdr:col>2</xdr:col>
                    <xdr:colOff>444500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Check Box 15">
              <controlPr defaultSize="0" autoFill="0" autoLine="0" autoPict="0">
                <anchor moveWithCells="1">
                  <from>
                    <xdr:col>0</xdr:col>
                    <xdr:colOff>38100</xdr:colOff>
                    <xdr:row>13</xdr:row>
                    <xdr:rowOff>184150</xdr:rowOff>
                  </from>
                  <to>
                    <xdr:col>2</xdr:col>
                    <xdr:colOff>444500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Check Box 16">
              <controlPr defaultSize="0" autoFill="0" autoLine="0" autoPict="0">
                <anchor moveWithCells="1">
                  <from>
                    <xdr:col>0</xdr:col>
                    <xdr:colOff>38100</xdr:colOff>
                    <xdr:row>15</xdr:row>
                    <xdr:rowOff>184150</xdr:rowOff>
                  </from>
                  <to>
                    <xdr:col>2</xdr:col>
                    <xdr:colOff>444500</xdr:colOff>
                    <xdr:row>17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NetPeakAreas</vt:lpstr>
      <vt:lpstr>NLS</vt:lpstr>
      <vt:lpstr>Temporary</vt:lpstr>
      <vt:lpstr>Nuclide Library</vt:lpstr>
      <vt:lpstr>Sheet2</vt:lpstr>
    </vt:vector>
  </TitlesOfParts>
  <Company>ANSTO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MOTTA, Gabriele</dc:creator>
  <cp:lastModifiedBy>MOTTA, Gabriele</cp:lastModifiedBy>
  <dcterms:created xsi:type="dcterms:W3CDTF">2020-10-19T05:23:37Z</dcterms:created>
  <dcterms:modified xsi:type="dcterms:W3CDTF">2023-05-09T23:27:10Z</dcterms:modified>
</cp:coreProperties>
</file>