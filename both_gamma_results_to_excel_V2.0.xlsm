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ttag\Documents\Projects\Automation\Gamma Results To Excel\"/>
    </mc:Choice>
  </mc:AlternateContent>
  <xr:revisionPtr revIDLastSave="0" documentId="13_ncr:1_{AFD91B16-A6E5-427F-ACB3-16F418E1494D}" xr6:coauthVersionLast="47" xr6:coauthVersionMax="47" xr10:uidLastSave="{00000000-0000-0000-0000-000000000000}"/>
  <bookViews>
    <workbookView xWindow="-110" yWindow="-110" windowWidth="25820" windowHeight="14020" xr2:uid="{00000000-000D-0000-FFFF-FFFF00000000}"/>
  </bookViews>
  <sheets>
    <sheet name="Sheet1" sheetId="1" r:id="rId1"/>
    <sheet name="AECOM IRENE Pre-PBC" sheetId="12" r:id="rId2"/>
    <sheet name="NetPeakAreas" sheetId="10" r:id="rId3"/>
    <sheet name="Sheet5" sheetId="9" r:id="rId4"/>
    <sheet name="Sheet6" sheetId="11" r:id="rId5"/>
    <sheet name="Sheet4" sheetId="8" r:id="rId6"/>
    <sheet name="NLS" sheetId="6" r:id="rId7"/>
    <sheet name="Sheet3" sheetId="7" r:id="rId8"/>
    <sheet name="Temporary" sheetId="4" state="hidden" r:id="rId9"/>
    <sheet name="Nuclide Library" sheetId="3" state="hidden" r:id="rId10"/>
    <sheet name="Sheet2" sheetId="2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11" l="1"/>
  <c r="F10" i="11"/>
  <c r="F9" i="11"/>
  <c r="S10" i="11"/>
  <c r="U10" i="11"/>
  <c r="S11" i="11"/>
  <c r="U11" i="11"/>
  <c r="U9" i="11"/>
  <c r="S9" i="11"/>
  <c r="F4" i="11"/>
  <c r="F5" i="11"/>
  <c r="F3" i="11"/>
  <c r="F88" i="10" l="1"/>
  <c r="F87" i="10"/>
  <c r="X21" i="10" l="1"/>
  <c r="R25" i="10"/>
  <c r="X25" i="10"/>
  <c r="U25" i="10"/>
  <c r="F30" i="10"/>
  <c r="O26" i="10"/>
  <c r="R26" i="10"/>
  <c r="U26" i="10"/>
  <c r="X26" i="10"/>
  <c r="X23" i="10"/>
  <c r="U23" i="10"/>
  <c r="R23" i="10"/>
  <c r="O23" i="10"/>
  <c r="E3" i="7" l="1"/>
  <c r="E4" i="7"/>
  <c r="E5" i="7"/>
  <c r="E6" i="7"/>
  <c r="E7" i="7"/>
  <c r="E8" i="7"/>
  <c r="E2" i="7"/>
</calcChain>
</file>

<file path=xl/sharedStrings.xml><?xml version="1.0" encoding="utf-8"?>
<sst xmlns="http://schemas.openxmlformats.org/spreadsheetml/2006/main" count="6147" uniqueCount="224">
  <si>
    <t>Selected Nuclides For Data Export</t>
  </si>
  <si>
    <t>Pb-210</t>
  </si>
  <si>
    <t>Cs-137</t>
  </si>
  <si>
    <t>Co-60</t>
  </si>
  <si>
    <t>Energy (keV)</t>
  </si>
  <si>
    <t>Insert report file path in cell A2 or Browse using the button to the right</t>
  </si>
  <si>
    <t>Am-241</t>
  </si>
  <si>
    <t>Ac-228</t>
  </si>
  <si>
    <t>Cs-134</t>
  </si>
  <si>
    <t>Cs-134_2</t>
  </si>
  <si>
    <t>Mn-54</t>
  </si>
  <si>
    <t>Y-88</t>
  </si>
  <si>
    <t>Y-88_2</t>
  </si>
  <si>
    <t>Ba-133</t>
  </si>
  <si>
    <t>Co-60_2</t>
  </si>
  <si>
    <t>Cd-109</t>
  </si>
  <si>
    <t>Pb-212</t>
  </si>
  <si>
    <t>Bi-212</t>
  </si>
  <si>
    <t>K-40</t>
  </si>
  <si>
    <t>Bi-214</t>
  </si>
  <si>
    <t>Pb-214</t>
  </si>
  <si>
    <t>Pb-214_2</t>
  </si>
  <si>
    <t>Pb-214_3</t>
  </si>
  <si>
    <t>46.54 keV</t>
  </si>
  <si>
    <t>1460.822 keV</t>
  </si>
  <si>
    <t>Acquisition Date</t>
  </si>
  <si>
    <t>±</t>
  </si>
  <si>
    <t>mass (kg)</t>
  </si>
  <si>
    <t>LiveTime (days)</t>
  </si>
  <si>
    <t>Detector</t>
  </si>
  <si>
    <t>Sample ID</t>
  </si>
  <si>
    <t>Efficiency ID</t>
  </si>
  <si>
    <t>59.54 keV</t>
  </si>
  <si>
    <t>TOC Activity (Bq/kg)</t>
  </si>
  <si>
    <t>Decay Corrected Activity (Bq/kg)</t>
  </si>
  <si>
    <t>Uncertainty (Bq/kg)</t>
  </si>
  <si>
    <t>MDA (Bq/kg)</t>
  </si>
  <si>
    <t>LT</t>
  </si>
  <si>
    <t>K-40 MDA</t>
  </si>
  <si>
    <t>Pb-210 MDA</t>
  </si>
  <si>
    <t>1/sqrt(LT)</t>
  </si>
  <si>
    <t>661.657 keV</t>
  </si>
  <si>
    <t xml:space="preserve">Helene   UNSUP                           </t>
  </si>
  <si>
    <t>mass ()</t>
  </si>
  <si>
    <t>TOC Activity (Bq/)</t>
  </si>
  <si>
    <t>Decay Corrected Activity (Bq/)</t>
  </si>
  <si>
    <t>Uncertainty (Bq/)</t>
  </si>
  <si>
    <t>MDA (Bq/)</t>
  </si>
  <si>
    <t>Irene</t>
  </si>
  <si>
    <t>&lt;</t>
  </si>
  <si>
    <t>911.2 keV</t>
  </si>
  <si>
    <t>238.632 keV</t>
  </si>
  <si>
    <t>727.33 keV</t>
  </si>
  <si>
    <t>609.312 keV</t>
  </si>
  <si>
    <t>351.932 keV</t>
  </si>
  <si>
    <t>241.997 keV</t>
  </si>
  <si>
    <t>Ra-226</t>
  </si>
  <si>
    <t>186.211 keV</t>
  </si>
  <si>
    <t xml:space="preserve">Marie   MARIE-U                         </t>
  </si>
  <si>
    <t>295.224 keV</t>
  </si>
  <si>
    <t>Tl-208</t>
  </si>
  <si>
    <t>583.187 keV</t>
  </si>
  <si>
    <t>Th-234</t>
  </si>
  <si>
    <t>63.3 keV</t>
  </si>
  <si>
    <t>Y451</t>
  </si>
  <si>
    <t xml:space="preserve"> 22RGUThK-MP            </t>
  </si>
  <si>
    <t>Y460</t>
  </si>
  <si>
    <t>Y461</t>
  </si>
  <si>
    <t>Y462</t>
  </si>
  <si>
    <t>Y477</t>
  </si>
  <si>
    <t>Y478</t>
  </si>
  <si>
    <t>Y479</t>
  </si>
  <si>
    <t>Y480</t>
  </si>
  <si>
    <t>Y487</t>
  </si>
  <si>
    <t>Y489</t>
  </si>
  <si>
    <t>Y450</t>
  </si>
  <si>
    <t xml:space="preserve"> 20201109UThKCsPH       </t>
  </si>
  <si>
    <t>Y455</t>
  </si>
  <si>
    <t>Y469</t>
  </si>
  <si>
    <t>Y470</t>
  </si>
  <si>
    <t>Y471</t>
  </si>
  <si>
    <t>Y472</t>
  </si>
  <si>
    <t>Y473</t>
  </si>
  <si>
    <t>Y474</t>
  </si>
  <si>
    <t>Y475</t>
  </si>
  <si>
    <t>Y476</t>
  </si>
  <si>
    <t>Y484</t>
  </si>
  <si>
    <t>Y452</t>
  </si>
  <si>
    <t>N/A</t>
  </si>
  <si>
    <t>Y453</t>
  </si>
  <si>
    <t>Y454</t>
  </si>
  <si>
    <t>Y465</t>
  </si>
  <si>
    <t>Y466</t>
  </si>
  <si>
    <t>Y467</t>
  </si>
  <si>
    <t>Y468</t>
  </si>
  <si>
    <t>Y481</t>
  </si>
  <si>
    <t>Y482</t>
  </si>
  <si>
    <t>Y490</t>
  </si>
  <si>
    <t>Y491</t>
  </si>
  <si>
    <t>Y492</t>
  </si>
  <si>
    <t>Y493</t>
  </si>
  <si>
    <t>Y494</t>
  </si>
  <si>
    <t>Y495</t>
  </si>
  <si>
    <t>Y496</t>
  </si>
  <si>
    <t>Y497</t>
  </si>
  <si>
    <t>Y498</t>
  </si>
  <si>
    <t>Y499</t>
  </si>
  <si>
    <t>Y521</t>
  </si>
  <si>
    <t>Y522</t>
  </si>
  <si>
    <t>Y523</t>
  </si>
  <si>
    <t>Y572</t>
  </si>
  <si>
    <t>Y573</t>
  </si>
  <si>
    <t>Y574</t>
  </si>
  <si>
    <t>Y575</t>
  </si>
  <si>
    <t>Y576</t>
  </si>
  <si>
    <t>Y577</t>
  </si>
  <si>
    <t>Y578</t>
  </si>
  <si>
    <t>Y579</t>
  </si>
  <si>
    <t>Y463</t>
  </si>
  <si>
    <t>Y464</t>
  </si>
  <si>
    <t>Y483</t>
  </si>
  <si>
    <t>Y485</t>
  </si>
  <si>
    <t>Y486</t>
  </si>
  <si>
    <t>Y500</t>
  </si>
  <si>
    <t>Y502</t>
  </si>
  <si>
    <t>Y503</t>
  </si>
  <si>
    <t>Y504</t>
  </si>
  <si>
    <t>Y505</t>
  </si>
  <si>
    <t>Y506u</t>
  </si>
  <si>
    <t>Y507u</t>
  </si>
  <si>
    <t>Y524</t>
  </si>
  <si>
    <t>Y525</t>
  </si>
  <si>
    <t>Y526</t>
  </si>
  <si>
    <t>Y580</t>
  </si>
  <si>
    <t>Y456</t>
  </si>
  <si>
    <t>Y457</t>
  </si>
  <si>
    <t>Y458</t>
  </si>
  <si>
    <t>Y459</t>
  </si>
  <si>
    <t>Y488</t>
  </si>
  <si>
    <t>Y508</t>
  </si>
  <si>
    <t>Y509</t>
  </si>
  <si>
    <t>Y510</t>
  </si>
  <si>
    <t>Y511</t>
  </si>
  <si>
    <t>Y512</t>
  </si>
  <si>
    <t>Y513</t>
  </si>
  <si>
    <t>Y514</t>
  </si>
  <si>
    <t>Y515</t>
  </si>
  <si>
    <t>Y516</t>
  </si>
  <si>
    <t>Y517</t>
  </si>
  <si>
    <t>Y518</t>
  </si>
  <si>
    <t>Y519</t>
  </si>
  <si>
    <t>Y520</t>
  </si>
  <si>
    <t xml:space="preserve">Irene  </t>
  </si>
  <si>
    <t>RGUThK 20200622 PI</t>
  </si>
  <si>
    <t>Y581</t>
  </si>
  <si>
    <t>Y582</t>
  </si>
  <si>
    <t>Y583</t>
  </si>
  <si>
    <t>Y584</t>
  </si>
  <si>
    <t>Y585</t>
  </si>
  <si>
    <t>Y602</t>
  </si>
  <si>
    <t>Y603</t>
  </si>
  <si>
    <t>Y604</t>
  </si>
  <si>
    <t>Y586</t>
  </si>
  <si>
    <t>Y587</t>
  </si>
  <si>
    <t>Y588</t>
  </si>
  <si>
    <t>Y589</t>
  </si>
  <si>
    <t>Y596</t>
  </si>
  <si>
    <t>Y597</t>
  </si>
  <si>
    <t>Y598</t>
  </si>
  <si>
    <t>Y599</t>
  </si>
  <si>
    <t>Y501</t>
  </si>
  <si>
    <t>Y605</t>
  </si>
  <si>
    <t>Y610</t>
  </si>
  <si>
    <t>Y611</t>
  </si>
  <si>
    <t>Y612</t>
  </si>
  <si>
    <t>Y600</t>
  </si>
  <si>
    <t>Y601</t>
  </si>
  <si>
    <t>Y608</t>
  </si>
  <si>
    <t>Y609</t>
  </si>
  <si>
    <t>Y590</t>
  </si>
  <si>
    <t>Y591</t>
  </si>
  <si>
    <t>Y592</t>
  </si>
  <si>
    <t>Y593</t>
  </si>
  <si>
    <t>Y594</t>
  </si>
  <si>
    <t>Y595</t>
  </si>
  <si>
    <t>Y606</t>
  </si>
  <si>
    <t>Y607</t>
  </si>
  <si>
    <t>IAEA-327</t>
  </si>
  <si>
    <t>Net Peak Area (Cts)</t>
  </si>
  <si>
    <t>Net Peak Area Uncertainty (Cts)</t>
  </si>
  <si>
    <t>Net Peak Count Rate (Cts/s)</t>
  </si>
  <si>
    <t>Petri+RaPS</t>
  </si>
  <si>
    <t>RGTh-1+RaPS</t>
  </si>
  <si>
    <t>RGK</t>
  </si>
  <si>
    <t>RGTh</t>
  </si>
  <si>
    <t>RGK+RaPS</t>
  </si>
  <si>
    <t>RGU</t>
  </si>
  <si>
    <t>RGU+RaPS</t>
  </si>
  <si>
    <t>Bi-214_2</t>
  </si>
  <si>
    <t>1120.287 keV</t>
  </si>
  <si>
    <t>Bi-214_3</t>
  </si>
  <si>
    <t>1764.5 keV</t>
  </si>
  <si>
    <t>IAEA-300</t>
  </si>
  <si>
    <t>IAEA-300+RaPS</t>
  </si>
  <si>
    <t>IAEA-327+RaPS</t>
  </si>
  <si>
    <t>RaPS</t>
  </si>
  <si>
    <t>RGTh+RaPS</t>
  </si>
  <si>
    <t>Y612+RaPS</t>
  </si>
  <si>
    <t>Certified activities</t>
  </si>
  <si>
    <t>Measured Activities</t>
  </si>
  <si>
    <t>Helene</t>
  </si>
  <si>
    <t>Marie</t>
  </si>
  <si>
    <t>8/31/22</t>
  </si>
  <si>
    <t>Ra-228</t>
  </si>
  <si>
    <t>Th-228</t>
  </si>
  <si>
    <t>FROM BEFORE I FIGURED OUT IRENE WASN'T USING PBC CORRECTION</t>
  </si>
  <si>
    <t>795.86 keV</t>
  </si>
  <si>
    <t>Y873</t>
  </si>
  <si>
    <t xml:space="preserve"> AmyWaterLSCMarie       </t>
  </si>
  <si>
    <t>Y871</t>
  </si>
  <si>
    <t>Y872</t>
  </si>
  <si>
    <t>P:\carob\llr\Laboratory\Gamma_Spec\Gamma Spec Raw Data\Detectors\Marie\MARIE\2023\2023rc0020 A. MacIntosh\</t>
  </si>
  <si>
    <t>Y874</t>
  </si>
  <si>
    <t>Y875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</si>
</sst>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11"/>
      </left>
      <right/>
      <top/>
      <bottom/>
      <diagonal/>
    </border>
    <border>
      <left style="medium">
        <color indexed="11"/>
      </left>
      <right/>
      <top style="medium">
        <color indexed="64"/>
      </top>
      <bottom/>
      <diagonal/>
    </border>
    <border>
      <left/>
      <right style="medium">
        <color indexed="11"/>
      </right>
      <top style="medium">
        <color indexed="11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11"/>
      </left>
      <right style="medium">
        <color indexed="64"/>
      </right>
      <top/>
      <bottom/>
      <diagonal/>
    </border>
    <border>
      <left/>
      <right style="medium">
        <color indexed="11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2" borderId="0" xfId="0" applyFill="1" applyBorder="1"/>
    <xf numFmtId="0" fontId="3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left"/>
    </xf>
    <xf numFmtId="11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11" fontId="0" fillId="0" borderId="8" xfId="0" applyNumberFormat="1" applyBorder="1"/>
    <xf numFmtId="11" fontId="0" fillId="0" borderId="9" xfId="0" applyNumberFormat="1" applyBorder="1"/>
    <xf numFmtId="11" fontId="0" fillId="0" borderId="2" xfId="0" applyNumberFormat="1" applyBorder="1"/>
    <xf numFmtId="11" fontId="0" fillId="0" borderId="6" xfId="0" applyNumberFormat="1" applyBorder="1"/>
    <xf numFmtId="14" fontId="0" fillId="0" borderId="3" xfId="0" applyNumberFormat="1" applyBorder="1"/>
    <xf numFmtId="14" fontId="0" fillId="0" borderId="5" xfId="0" applyNumberFormat="1" applyBorder="1"/>
    <xf numFmtId="11" fontId="0" fillId="0" borderId="1" xfId="0" applyNumberFormat="1" applyBorder="1"/>
    <xf numFmtId="11" fontId="0" fillId="0" borderId="4" xfId="0" applyNumberFormat="1" applyBorder="1"/>
    <xf numFmtId="0" fontId="0" fillId="0" borderId="6" xfId="0" applyBorder="1"/>
    <xf numFmtId="11" fontId="0" fillId="0" borderId="5" xfId="0" applyNumberFormat="1" applyBorder="1"/>
    <xf numFmtId="11" fontId="0" fillId="0" borderId="3" xfId="0" applyNumberFormat="1" applyBorder="1"/>
    <xf numFmtId="0" fontId="0" fillId="0" borderId="9" xfId="0" applyBorder="1"/>
    <xf numFmtId="11" fontId="0" fillId="0" borderId="7" xfId="0" applyNumberFormat="1" applyBorder="1"/>
    <xf numFmtId="2" fontId="0" fillId="0" borderId="5" xfId="0" applyNumberForma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11" fontId="0" fillId="0" borderId="0" xfId="0" applyNumberFormat="1" applyBorder="1"/>
    <xf numFmtId="0" fontId="0" fillId="0" borderId="0" xfId="0" applyBorder="1"/>
    <xf numFmtId="11" fontId="0" fillId="0" borderId="15" xfId="0" applyNumberFormat="1" applyBorder="1"/>
    <xf numFmtId="0" fontId="0" fillId="0" borderId="16" xfId="0" applyBorder="1"/>
    <xf numFmtId="11" fontId="0" fillId="0" borderId="17" xfId="0" applyNumberForma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11" fontId="0" fillId="0" borderId="18" xfId="0" applyNumberFormat="1" applyBorder="1"/>
    <xf numFmtId="11" fontId="0" fillId="0" borderId="11" xfId="0" applyNumberFormat="1" applyBorder="1"/>
    <xf numFmtId="11" fontId="0" fillId="0" borderId="10" xfId="0" applyNumberFormat="1" applyBorder="1"/>
    <xf numFmtId="0" fontId="0" fillId="0" borderId="20" xfId="0" applyBorder="1"/>
    <xf numFmtId="11" fontId="0" fillId="0" borderId="19" xfId="0" applyNumberFormat="1" applyBorder="1"/>
    <xf numFmtId="11" fontId="0" fillId="0" borderId="20" xfId="0" applyNumberFormat="1" applyBorder="1"/>
    <xf numFmtId="0" fontId="0" fillId="3" borderId="0" xfId="0" applyFill="1"/>
    <xf numFmtId="14" fontId="0" fillId="3" borderId="0" xfId="0" applyNumberFormat="1" applyFill="1"/>
    <xf numFmtId="11" fontId="0" fillId="3" borderId="0" xfId="0" applyNumberFormat="1" applyFill="1"/>
    <xf numFmtId="14" fontId="0" fillId="0" borderId="0" xfId="0" applyNumberFormat="1" applyBorder="1"/>
    <xf numFmtId="2" fontId="0" fillId="0" borderId="3" xfId="0" applyNumberFormat="1" applyBorder="1"/>
    <xf numFmtId="2" fontId="0" fillId="0" borderId="0" xfId="0" applyNumberFormat="1" applyBorder="1"/>
    <xf numFmtId="2" fontId="0" fillId="0" borderId="11" xfId="0" applyNumberFormat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1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7.8491251093613296E-2"/>
                  <c:y val="-0.239820647419072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Sheet3!$A$2:$A$8</c:f>
              <c:numCache>
                <c:formatCode>General</c:formatCode>
                <c:ptCount val="7"/>
                <c:pt idx="0">
                  <c:v>2.1897106481481483</c:v>
                </c:pt>
                <c:pt idx="1">
                  <c:v>2.6689930555555552</c:v>
                </c:pt>
                <c:pt idx="2">
                  <c:v>1.9836805555555557</c:v>
                </c:pt>
                <c:pt idx="3">
                  <c:v>0.9151273148148148</c:v>
                </c:pt>
                <c:pt idx="4">
                  <c:v>1.0120370370370371</c:v>
                </c:pt>
                <c:pt idx="5">
                  <c:v>0.98575231481481485</c:v>
                </c:pt>
                <c:pt idx="6">
                  <c:v>0.8822106481481482</c:v>
                </c:pt>
              </c:numCache>
            </c:numRef>
          </c:xVal>
          <c:yVal>
            <c:numRef>
              <c:f>Sheet3!$B$2:$B$8</c:f>
              <c:numCache>
                <c:formatCode>0.00E+00</c:formatCode>
                <c:ptCount val="7"/>
                <c:pt idx="0">
                  <c:v>26.685500000000001</c:v>
                </c:pt>
                <c:pt idx="1">
                  <c:v>26.212700000000002</c:v>
                </c:pt>
                <c:pt idx="2">
                  <c:v>31.382400000000001</c:v>
                </c:pt>
                <c:pt idx="3">
                  <c:v>50.451799999999999</c:v>
                </c:pt>
                <c:pt idx="4">
                  <c:v>74.813199999999995</c:v>
                </c:pt>
                <c:pt idx="5">
                  <c:v>46.692</c:v>
                </c:pt>
                <c:pt idx="6">
                  <c:v>60.581299999999999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1-4D56-B9E4-956047ECD322}"/>
            </c:ext>
          </c:extLst>
        </c:ser>
        <c:ser>
          <c:idx val="1"/>
          <c:order val="1"/>
          <c:tx>
            <c:strRef>
              <c:f>Sheet3!$C$1</c:f>
              <c:strCache>
                <c:ptCount val="1"/>
                <c:pt idx="0">
                  <c:v>Pb-210 MDA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0.47706430446194226"/>
                  <c:y val="-5.00780110819481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Sheet3!$A$2:$A$8</c:f>
              <c:numCache>
                <c:formatCode>General</c:formatCode>
                <c:ptCount val="7"/>
                <c:pt idx="0">
                  <c:v>2.1897106481481483</c:v>
                </c:pt>
                <c:pt idx="1">
                  <c:v>2.6689930555555552</c:v>
                </c:pt>
                <c:pt idx="2">
                  <c:v>1.9836805555555557</c:v>
                </c:pt>
                <c:pt idx="3">
                  <c:v>0.9151273148148148</c:v>
                </c:pt>
                <c:pt idx="4">
                  <c:v>1.0120370370370371</c:v>
                </c:pt>
                <c:pt idx="5">
                  <c:v>0.98575231481481485</c:v>
                </c:pt>
                <c:pt idx="6">
                  <c:v>0.8822106481481482</c:v>
                </c:pt>
              </c:numCache>
            </c:numRef>
          </c:xVal>
          <c:yVal>
            <c:numRef>
              <c:f>Sheet3!$C$2:$C$8</c:f>
              <c:numCache>
                <c:formatCode>0.00E+00</c:formatCode>
                <c:ptCount val="7"/>
                <c:pt idx="0">
                  <c:v>11.205399999999999</c:v>
                </c:pt>
                <c:pt idx="1">
                  <c:v>10.3406</c:v>
                </c:pt>
                <c:pt idx="2">
                  <c:v>24.554099999999998</c:v>
                </c:pt>
                <c:pt idx="3">
                  <c:v>38.128900000000002</c:v>
                </c:pt>
                <c:pt idx="4">
                  <c:v>80.783100000000005</c:v>
                </c:pt>
                <c:pt idx="5">
                  <c:v>35.832999999999998</c:v>
                </c:pt>
                <c:pt idx="6">
                  <c:v>64.607100000000003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21-4D56-B9E4-956047ECD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1712344"/>
        <c:axId val="628178976"/>
      </c:scatterChart>
      <c:valAx>
        <c:axId val="621712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178976"/>
        <c:crosses val="autoZero"/>
        <c:crossBetween val="midCat"/>
      </c:valAx>
      <c:valAx>
        <c:axId val="628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712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Sheet3!$E$2:$E$8</c:f>
              <c:numCache>
                <c:formatCode>General</c:formatCode>
                <c:ptCount val="7"/>
                <c:pt idx="0">
                  <c:v>0.67578202343126736</c:v>
                </c:pt>
                <c:pt idx="1">
                  <c:v>0.61210549476104736</c:v>
                </c:pt>
                <c:pt idx="2">
                  <c:v>0.71000945452912256</c:v>
                </c:pt>
                <c:pt idx="3">
                  <c:v>1.0453440239449572</c:v>
                </c:pt>
                <c:pt idx="4">
                  <c:v>0.99403527599258656</c:v>
                </c:pt>
                <c:pt idx="5">
                  <c:v>1.0072008815287099</c:v>
                </c:pt>
                <c:pt idx="6">
                  <c:v>1.0646671453096865</c:v>
                </c:pt>
              </c:numCache>
            </c:numRef>
          </c:xVal>
          <c:yVal>
            <c:numRef>
              <c:f>Sheet3!$G$2:$G$8</c:f>
              <c:numCache>
                <c:formatCode>0.00E+00</c:formatCode>
                <c:ptCount val="7"/>
                <c:pt idx="0">
                  <c:v>11.205399999999999</c:v>
                </c:pt>
                <c:pt idx="1">
                  <c:v>10.3406</c:v>
                </c:pt>
                <c:pt idx="2">
                  <c:v>24.554099999999998</c:v>
                </c:pt>
                <c:pt idx="3">
                  <c:v>38.128900000000002</c:v>
                </c:pt>
                <c:pt idx="4">
                  <c:v>80.783100000000005</c:v>
                </c:pt>
                <c:pt idx="5">
                  <c:v>35.832999999999998</c:v>
                </c:pt>
                <c:pt idx="6">
                  <c:v>64.607100000000003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65-4C8C-ADFA-B1A935916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37984"/>
        <c:axId val="736535360"/>
      </c:scatterChart>
      <c:valAx>
        <c:axId val="736537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35360"/>
        <c:crosses val="autoZero"/>
        <c:crossBetween val="midCat"/>
      </c:valAx>
      <c:valAx>
        <c:axId val="73653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37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800100</xdr:colOff>
          <xdr:row>0</xdr:row>
          <xdr:rowOff>44450</xdr:rowOff>
        </xdr:from>
        <xdr:to>
          <xdr:col>9</xdr:col>
          <xdr:colOff>387350</xdr:colOff>
          <xdr:row>0</xdr:row>
          <xdr:rowOff>311150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 For Report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69850</xdr:colOff>
          <xdr:row>2</xdr:row>
          <xdr:rowOff>63500</xdr:rowOff>
        </xdr:from>
        <xdr:to>
          <xdr:col>8</xdr:col>
          <xdr:colOff>762000</xdr:colOff>
          <xdr:row>4</xdr:row>
          <xdr:rowOff>114300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Nuclides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2</xdr:row>
          <xdr:rowOff>82550</xdr:rowOff>
        </xdr:from>
        <xdr:to>
          <xdr:col>4</xdr:col>
          <xdr:colOff>482600</xdr:colOff>
          <xdr:row>5</xdr:row>
          <xdr:rowOff>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0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749300</xdr:colOff>
          <xdr:row>3</xdr:row>
          <xdr:rowOff>152400</xdr:rowOff>
        </xdr:from>
        <xdr:to>
          <xdr:col>6</xdr:col>
          <xdr:colOff>438150</xdr:colOff>
          <xdr:row>6</xdr:row>
          <xdr:rowOff>12700</xdr:rowOff>
        </xdr:to>
        <xdr:sp macro="" textlink="">
          <xdr:nvSpPr>
            <xdr:cNvPr id="3078" name="CheckBox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1384300</xdr:colOff>
          <xdr:row>2</xdr:row>
          <xdr:rowOff>127000</xdr:rowOff>
        </xdr:from>
        <xdr:to>
          <xdr:col>10</xdr:col>
          <xdr:colOff>425450</xdr:colOff>
          <xdr:row>4</xdr:row>
          <xdr:rowOff>6350</xdr:rowOff>
        </xdr:to>
        <xdr:sp macro="" textlink="">
          <xdr:nvSpPr>
            <xdr:cNvPr id="3080" name="GenieDataShiftColumnCheckBox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1390650</xdr:colOff>
          <xdr:row>4</xdr:row>
          <xdr:rowOff>50800</xdr:rowOff>
        </xdr:from>
        <xdr:to>
          <xdr:col>10</xdr:col>
          <xdr:colOff>488950</xdr:colOff>
          <xdr:row>6</xdr:row>
          <xdr:rowOff>19050</xdr:rowOff>
        </xdr:to>
        <xdr:sp macro="" textlink="">
          <xdr:nvSpPr>
            <xdr:cNvPr id="3081" name="ReadNetPeakAreaChkBox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1</xdr:row>
          <xdr:rowOff>31750</xdr:rowOff>
        </xdr:from>
        <xdr:to>
          <xdr:col>6</xdr:col>
          <xdr:colOff>0</xdr:colOff>
          <xdr:row>3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384175</xdr:colOff>
      <xdr:row>3</xdr:row>
      <xdr:rowOff>155575</xdr:rowOff>
    </xdr:from>
    <xdr:to>
      <xdr:col>17</xdr:col>
      <xdr:colOff>79375</xdr:colOff>
      <xdr:row>18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73025</xdr:colOff>
      <xdr:row>8</xdr:row>
      <xdr:rowOff>123825</xdr:rowOff>
    </xdr:from>
    <xdr:to>
      <xdr:col>10</xdr:col>
      <xdr:colOff>377825</xdr:colOff>
      <xdr:row>23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184150</xdr:rowOff>
        </xdr:from>
        <xdr:to>
          <xdr:col>2</xdr:col>
          <xdr:colOff>457200</xdr:colOff>
          <xdr:row>3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Pb-210      45.54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6350</xdr:rowOff>
        </xdr:from>
        <xdr:to>
          <xdr:col>2</xdr:col>
          <xdr:colOff>482600</xdr:colOff>
          <xdr:row>4</xdr:row>
          <xdr:rowOff>31750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A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Am-241     54.54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184150</xdr:rowOff>
        </xdr:from>
        <xdr:to>
          <xdr:col>2</xdr:col>
          <xdr:colOff>463550</xdr:colOff>
          <xdr:row>5</xdr:row>
          <xdr:rowOff>38100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A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Cs-137      661.657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184150</xdr:rowOff>
        </xdr:from>
        <xdr:to>
          <xdr:col>2</xdr:col>
          <xdr:colOff>457200</xdr:colOff>
          <xdr:row>7</xdr:row>
          <xdr:rowOff>25400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A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Cs-134      604.72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25400</xdr:rowOff>
        </xdr:from>
        <xdr:to>
          <xdr:col>2</xdr:col>
          <xdr:colOff>463550</xdr:colOff>
          <xdr:row>8</xdr:row>
          <xdr:rowOff>25400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A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Cs-134      795.86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12</xdr:row>
          <xdr:rowOff>184150</xdr:rowOff>
        </xdr:from>
        <xdr:to>
          <xdr:col>2</xdr:col>
          <xdr:colOff>444500</xdr:colOff>
          <xdr:row>14</xdr:row>
          <xdr:rowOff>25400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A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Cd-109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</xdr:row>
          <xdr:rowOff>0</xdr:rowOff>
        </xdr:from>
        <xdr:to>
          <xdr:col>2</xdr:col>
          <xdr:colOff>457200</xdr:colOff>
          <xdr:row>9</xdr:row>
          <xdr:rowOff>6350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A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Mn-54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</xdr:row>
          <xdr:rowOff>190500</xdr:rowOff>
        </xdr:from>
        <xdr:to>
          <xdr:col>2</xdr:col>
          <xdr:colOff>457200</xdr:colOff>
          <xdr:row>10</xdr:row>
          <xdr:rowOff>6350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A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Y-88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184150</xdr:rowOff>
        </xdr:from>
        <xdr:to>
          <xdr:col>2</xdr:col>
          <xdr:colOff>444500</xdr:colOff>
          <xdr:row>11</xdr:row>
          <xdr:rowOff>6350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A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Ba-133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12</xdr:row>
          <xdr:rowOff>25400</xdr:rowOff>
        </xdr:from>
        <xdr:to>
          <xdr:col>2</xdr:col>
          <xdr:colOff>444500</xdr:colOff>
          <xdr:row>13</xdr:row>
          <xdr:rowOff>25400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A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Co-60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184150</xdr:rowOff>
        </xdr:from>
        <xdr:to>
          <xdr:col>2</xdr:col>
          <xdr:colOff>450850</xdr:colOff>
          <xdr:row>6</xdr:row>
          <xdr:rowOff>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A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Ac-228      911.2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11</xdr:row>
          <xdr:rowOff>25400</xdr:rowOff>
        </xdr:from>
        <xdr:to>
          <xdr:col>2</xdr:col>
          <xdr:colOff>444500</xdr:colOff>
          <xdr:row>12</xdr:row>
          <xdr:rowOff>25400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A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Co-60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14</xdr:row>
          <xdr:rowOff>184150</xdr:rowOff>
        </xdr:from>
        <xdr:to>
          <xdr:col>2</xdr:col>
          <xdr:colOff>444500</xdr:colOff>
          <xdr:row>16</xdr:row>
          <xdr:rowOff>25400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A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Bi-212     727.33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184150</xdr:rowOff>
        </xdr:from>
        <xdr:to>
          <xdr:col>2</xdr:col>
          <xdr:colOff>444500</xdr:colOff>
          <xdr:row>18</xdr:row>
          <xdr:rowOff>25400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A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Bi-214     609.31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13</xdr:row>
          <xdr:rowOff>184150</xdr:rowOff>
        </xdr:from>
        <xdr:to>
          <xdr:col>2</xdr:col>
          <xdr:colOff>444500</xdr:colOff>
          <xdr:row>15</xdr:row>
          <xdr:rowOff>25400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A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Pb-212     238.63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15</xdr:row>
          <xdr:rowOff>184150</xdr:rowOff>
        </xdr:from>
        <xdr:to>
          <xdr:col>2</xdr:col>
          <xdr:colOff>444500</xdr:colOff>
          <xdr:row>17</xdr:row>
          <xdr:rowOff>25400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K-40       1460.82 keV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69"/>
  <sheetViews>
    <sheetView tabSelected="1" topLeftCell="A4" zoomScale="93" zoomScaleNormal="93" workbookViewId="0">
      <selection activeCell="I25" sqref="I25"/>
    </sheetView>
  </sheetViews>
  <sheetFormatPr defaultColWidth="13.54296875" defaultRowHeight="14.5" x14ac:dyDescent="0.35"/>
  <cols>
    <col min="3" max="3" width="11.54296875" customWidth="1"/>
    <col min="4" max="4" width="20.36328125" customWidth="1"/>
    <col min="5" max="5" width="15" bestFit="1" customWidth="1"/>
    <col min="6" max="6" width="15.6328125" bestFit="1" customWidth="1"/>
    <col min="7" max="7" width="15" bestFit="1" customWidth="1"/>
    <col min="8" max="8" width="17.453125" bestFit="1" customWidth="1"/>
    <col min="9" max="9" width="30.6328125" bestFit="1" customWidth="1"/>
    <col min="10" max="10" width="8.54296875" bestFit="1" customWidth="1"/>
    <col min="11" max="11" width="17.1796875" bestFit="1" customWidth="1"/>
    <col min="12" max="12" width="15.36328125" bestFit="1" customWidth="1"/>
    <col min="13" max="13" width="10.90625" customWidth="1"/>
    <col min="14" max="14" width="30.6328125" bestFit="1" customWidth="1"/>
    <col min="15" max="15" width="1.90625" customWidth="1"/>
    <col min="16" max="16" width="17.1796875" bestFit="1" customWidth="1"/>
    <col min="17" max="17" width="19.453125" bestFit="1" customWidth="1"/>
    <col min="19" max="19" width="29.90625" bestFit="1" customWidth="1"/>
    <col min="20" max="20" width="3" customWidth="1"/>
    <col min="22" max="22" width="15.36328125" bestFit="1" customWidth="1"/>
    <col min="23" max="23" width="8.6328125" customWidth="1"/>
    <col min="24" max="24" width="29.90625" bestFit="1" customWidth="1"/>
    <col min="28" max="28" width="10.36328125" customWidth="1"/>
    <col min="29" max="29" width="30.6328125" bestFit="1" customWidth="1"/>
    <col min="30" max="30" width="3" customWidth="1"/>
    <col min="31" max="31" width="18.54296875" bestFit="1" customWidth="1"/>
    <col min="33" max="33" width="9.08984375" customWidth="1"/>
    <col min="34" max="34" width="30.6328125" bestFit="1" customWidth="1"/>
    <col min="35" max="35" width="2.453125" customWidth="1"/>
    <col min="36" max="36" width="18.54296875" bestFit="1" customWidth="1"/>
    <col min="38" max="38" width="9.81640625" customWidth="1"/>
    <col min="39" max="39" width="30.6328125" bestFit="1" customWidth="1"/>
    <col min="40" max="40" width="2.453125" customWidth="1"/>
    <col min="41" max="41" width="18.54296875" bestFit="1" customWidth="1"/>
    <col min="54" max="54" width="30.6328125" bestFit="1" customWidth="1"/>
    <col min="55" max="55" width="2.08984375" customWidth="1"/>
    <col min="56" max="56" width="18.54296875" bestFit="1" customWidth="1"/>
    <col min="59" max="59" width="30.6328125" bestFit="1" customWidth="1"/>
    <col min="60" max="60" width="2.08984375" customWidth="1"/>
    <col min="61" max="61" width="18.54296875" bestFit="1" customWidth="1"/>
    <col min="199" max="199" width="15.6328125" bestFit="1" customWidth="1"/>
  </cols>
  <sheetData>
    <row r="1" spans="1:56" ht="26.25" customHeight="1" x14ac:dyDescent="0.45">
      <c r="A1" s="4" t="s">
        <v>5</v>
      </c>
      <c r="B1" s="4"/>
      <c r="C1" s="5"/>
      <c r="D1" s="5"/>
      <c r="E1" s="5"/>
      <c r="F1" s="5"/>
      <c r="G1" s="57"/>
      <c r="H1" s="57"/>
      <c r="I1" s="57"/>
      <c r="J1" s="57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</row>
    <row r="2" spans="1:56" ht="19.5" customHeight="1" x14ac:dyDescent="0.35">
      <c r="A2" s="7" t="s">
        <v>221</v>
      </c>
      <c r="B2" s="7"/>
      <c r="C2" s="6"/>
      <c r="D2" s="6"/>
      <c r="E2" s="6"/>
      <c r="F2" s="6"/>
      <c r="G2" s="59"/>
      <c r="H2" s="58"/>
      <c r="I2" s="58"/>
      <c r="J2" s="58"/>
      <c r="K2" s="59"/>
      <c r="L2" s="59"/>
      <c r="M2" s="58"/>
      <c r="N2" s="58"/>
      <c r="O2" s="59"/>
      <c r="P2" s="59"/>
      <c r="Q2" s="59"/>
      <c r="R2" s="58"/>
      <c r="S2" s="58"/>
      <c r="T2" s="59"/>
      <c r="U2" s="59"/>
      <c r="V2" s="59"/>
      <c r="W2" s="58"/>
      <c r="X2" s="58"/>
      <c r="Y2" s="59"/>
      <c r="Z2" s="59"/>
      <c r="AA2" s="59"/>
      <c r="AB2" s="58"/>
      <c r="AC2" s="58"/>
      <c r="AD2" s="59"/>
      <c r="AE2" s="59"/>
      <c r="AF2" s="59"/>
      <c r="AG2" s="58"/>
      <c r="AH2" s="58"/>
      <c r="AI2" s="59"/>
      <c r="AJ2" s="59"/>
      <c r="AK2" s="59"/>
      <c r="AL2" s="58"/>
      <c r="AM2" s="58"/>
      <c r="AN2" s="59"/>
      <c r="AO2" s="59"/>
      <c r="AP2" s="59"/>
      <c r="AQ2" s="58"/>
      <c r="AR2" s="58"/>
      <c r="AS2" s="59"/>
      <c r="AT2" s="59"/>
    </row>
    <row r="3" spans="1:56" x14ac:dyDescent="0.3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Q3" s="8"/>
      <c r="T3" s="1"/>
    </row>
    <row r="7" spans="1:56" ht="15" thickBot="1" x14ac:dyDescent="0.4"/>
    <row r="8" spans="1:56" ht="15" thickBot="1" x14ac:dyDescent="0.4">
      <c r="G8" s="13" t="s">
        <v>18</v>
      </c>
      <c r="H8" s="9" t="s">
        <v>24</v>
      </c>
      <c r="I8" s="9"/>
      <c r="J8" s="9"/>
      <c r="K8" s="9"/>
      <c r="L8" s="13" t="s">
        <v>1</v>
      </c>
      <c r="M8" s="9" t="s">
        <v>23</v>
      </c>
      <c r="N8" s="9"/>
      <c r="O8" s="9"/>
      <c r="P8" s="9"/>
      <c r="Q8" s="13" t="s">
        <v>2</v>
      </c>
      <c r="R8" s="9" t="s">
        <v>41</v>
      </c>
      <c r="S8" s="9"/>
      <c r="T8" s="9"/>
      <c r="U8" s="9"/>
      <c r="V8" s="13" t="s">
        <v>7</v>
      </c>
      <c r="W8" s="9" t="s">
        <v>50</v>
      </c>
      <c r="X8" s="9"/>
      <c r="Y8" s="9"/>
      <c r="Z8" s="9"/>
      <c r="AA8" s="13" t="s">
        <v>9</v>
      </c>
      <c r="AB8" s="9" t="s">
        <v>216</v>
      </c>
      <c r="AC8" s="9"/>
      <c r="AD8" s="9"/>
      <c r="AE8" s="9"/>
      <c r="AF8" s="13" t="s">
        <v>16</v>
      </c>
      <c r="AG8" s="9" t="s">
        <v>51</v>
      </c>
      <c r="AH8" s="9"/>
      <c r="AI8" s="9"/>
      <c r="AJ8" s="9"/>
      <c r="AK8" s="13" t="s">
        <v>17</v>
      </c>
      <c r="AL8" s="9" t="s">
        <v>52</v>
      </c>
      <c r="AM8" s="9"/>
      <c r="AN8" s="9"/>
      <c r="AO8" s="9"/>
      <c r="AP8" s="13" t="s">
        <v>19</v>
      </c>
      <c r="AQ8" s="9" t="s">
        <v>53</v>
      </c>
      <c r="AR8" s="9"/>
      <c r="AS8" s="9"/>
      <c r="AT8" s="9"/>
      <c r="AU8" s="13" t="s">
        <v>21</v>
      </c>
      <c r="AV8" s="9" t="s">
        <v>54</v>
      </c>
      <c r="AW8" s="9"/>
      <c r="AX8" s="9"/>
      <c r="AY8" s="9"/>
      <c r="AZ8" s="13" t="s">
        <v>22</v>
      </c>
      <c r="BA8" s="9" t="s">
        <v>55</v>
      </c>
      <c r="BB8" s="9"/>
      <c r="BC8" s="9"/>
      <c r="BD8" s="12"/>
    </row>
    <row r="9" spans="1:56" ht="15" thickBot="1" x14ac:dyDescent="0.4">
      <c r="A9" s="13" t="s">
        <v>30</v>
      </c>
      <c r="B9" s="13" t="s">
        <v>29</v>
      </c>
      <c r="C9" s="13" t="s">
        <v>31</v>
      </c>
      <c r="D9" s="13" t="s">
        <v>27</v>
      </c>
      <c r="E9" s="13" t="s">
        <v>25</v>
      </c>
      <c r="F9" s="13" t="s">
        <v>28</v>
      </c>
      <c r="G9" s="11" t="s">
        <v>33</v>
      </c>
      <c r="H9" s="10" t="s">
        <v>34</v>
      </c>
      <c r="I9" s="10"/>
      <c r="J9" s="10" t="s">
        <v>35</v>
      </c>
      <c r="K9" s="10" t="s">
        <v>36</v>
      </c>
      <c r="L9" s="11" t="s">
        <v>33</v>
      </c>
      <c r="M9" s="10" t="s">
        <v>34</v>
      </c>
      <c r="N9" s="10"/>
      <c r="O9" s="10" t="s">
        <v>35</v>
      </c>
      <c r="P9" s="10" t="s">
        <v>36</v>
      </c>
      <c r="Q9" s="11" t="s">
        <v>33</v>
      </c>
      <c r="R9" s="10" t="s">
        <v>34</v>
      </c>
      <c r="S9" s="10"/>
      <c r="T9" s="10" t="s">
        <v>35</v>
      </c>
      <c r="U9" s="10" t="s">
        <v>36</v>
      </c>
      <c r="V9" s="11" t="s">
        <v>33</v>
      </c>
      <c r="W9" s="10" t="s">
        <v>34</v>
      </c>
      <c r="X9" s="10"/>
      <c r="Y9" s="10" t="s">
        <v>35</v>
      </c>
      <c r="Z9" s="10" t="s">
        <v>36</v>
      </c>
      <c r="AA9" s="11" t="s">
        <v>33</v>
      </c>
      <c r="AB9" s="10" t="s">
        <v>34</v>
      </c>
      <c r="AC9" s="10"/>
      <c r="AD9" s="10" t="s">
        <v>35</v>
      </c>
      <c r="AE9" s="10" t="s">
        <v>36</v>
      </c>
      <c r="AF9" s="11" t="s">
        <v>33</v>
      </c>
      <c r="AG9" s="10" t="s">
        <v>34</v>
      </c>
      <c r="AH9" s="10"/>
      <c r="AI9" s="10" t="s">
        <v>35</v>
      </c>
      <c r="AJ9" s="10" t="s">
        <v>36</v>
      </c>
      <c r="AK9" s="11" t="s">
        <v>33</v>
      </c>
      <c r="AL9" s="10" t="s">
        <v>34</v>
      </c>
      <c r="AM9" s="10"/>
      <c r="AN9" s="10" t="s">
        <v>35</v>
      </c>
      <c r="AO9" s="10" t="s">
        <v>36</v>
      </c>
      <c r="AP9" s="11" t="s">
        <v>33</v>
      </c>
      <c r="AQ9" s="10" t="s">
        <v>34</v>
      </c>
      <c r="AR9" s="10"/>
      <c r="AS9" s="10" t="s">
        <v>35</v>
      </c>
      <c r="AT9" s="10" t="s">
        <v>36</v>
      </c>
      <c r="AU9" s="11" t="s">
        <v>33</v>
      </c>
      <c r="AV9" s="10" t="s">
        <v>34</v>
      </c>
      <c r="AW9" s="10"/>
      <c r="AX9" s="10" t="s">
        <v>35</v>
      </c>
      <c r="AY9" s="10" t="s">
        <v>36</v>
      </c>
      <c r="AZ9" s="11" t="s">
        <v>33</v>
      </c>
      <c r="BA9" s="10" t="s">
        <v>34</v>
      </c>
      <c r="BB9" s="10"/>
      <c r="BC9" s="10" t="s">
        <v>35</v>
      </c>
      <c r="BD9" s="24" t="s">
        <v>36</v>
      </c>
    </row>
    <row r="10" spans="1:56" ht="15" thickBot="1" x14ac:dyDescent="0.4">
      <c r="A10" s="10" t="s">
        <v>217</v>
      </c>
      <c r="B10" s="11" t="s">
        <v>58</v>
      </c>
      <c r="C10" s="11" t="s">
        <v>218</v>
      </c>
      <c r="D10" s="11">
        <v>3.1782999999999998E-3</v>
      </c>
      <c r="E10" s="20">
        <v>45033</v>
      </c>
      <c r="F10" s="11">
        <v>1.9725694444444446</v>
      </c>
      <c r="G10" s="14"/>
      <c r="H10" s="16">
        <v>0.94105000000000005</v>
      </c>
      <c r="I10" s="15" t="s">
        <v>26</v>
      </c>
      <c r="J10" s="16">
        <v>2.7454000000000001</v>
      </c>
      <c r="K10" s="16">
        <v>12.8192</v>
      </c>
      <c r="L10" s="14"/>
      <c r="M10" s="16">
        <v>3.3460999999999999</v>
      </c>
      <c r="N10" s="15" t="s">
        <v>26</v>
      </c>
      <c r="O10" s="16">
        <v>1.238</v>
      </c>
      <c r="P10" s="16">
        <v>6.2232399999999997</v>
      </c>
      <c r="Q10" s="14"/>
      <c r="R10" s="15"/>
      <c r="S10" s="15" t="s">
        <v>26</v>
      </c>
      <c r="T10" s="15"/>
      <c r="U10" s="16">
        <v>1.84294</v>
      </c>
      <c r="V10" s="14"/>
      <c r="W10" s="16">
        <v>1.1171</v>
      </c>
      <c r="X10" s="15" t="s">
        <v>26</v>
      </c>
      <c r="Y10" s="16">
        <v>1.0132000000000001</v>
      </c>
      <c r="Z10" s="16">
        <v>4.6887499999999998</v>
      </c>
      <c r="AA10" s="14"/>
      <c r="AB10" s="15"/>
      <c r="AC10" s="15" t="s">
        <v>26</v>
      </c>
      <c r="AD10" s="15"/>
      <c r="AE10" s="16">
        <v>2.0777399999999999</v>
      </c>
      <c r="AF10" s="14"/>
      <c r="AG10" s="16">
        <v>7.6395000000000005E-2</v>
      </c>
      <c r="AH10" s="15" t="s">
        <v>26</v>
      </c>
      <c r="AI10" s="16">
        <v>0.82974000000000003</v>
      </c>
      <c r="AJ10" s="16">
        <v>1.6367499999999999</v>
      </c>
      <c r="AK10" s="14"/>
      <c r="AL10" s="15"/>
      <c r="AM10" s="15" t="s">
        <v>26</v>
      </c>
      <c r="AN10" s="15"/>
      <c r="AO10" s="16">
        <v>25.079699999999999</v>
      </c>
      <c r="AP10" s="14"/>
      <c r="AQ10" s="16">
        <v>1.8695999999999999</v>
      </c>
      <c r="AR10" s="15" t="s">
        <v>26</v>
      </c>
      <c r="AS10" s="16">
        <v>2.2612000000000001</v>
      </c>
      <c r="AT10" s="16">
        <v>3.8336100000000002</v>
      </c>
      <c r="AU10" s="14"/>
      <c r="AV10" s="16">
        <v>2.8290999999999999</v>
      </c>
      <c r="AW10" s="15" t="s">
        <v>26</v>
      </c>
      <c r="AX10" s="16">
        <v>0.86284000000000005</v>
      </c>
      <c r="AY10" s="16">
        <v>3.5274700000000001</v>
      </c>
      <c r="AZ10" s="14"/>
      <c r="BA10" s="16">
        <v>7.0175999999999998</v>
      </c>
      <c r="BB10" s="15" t="s">
        <v>26</v>
      </c>
      <c r="BC10" s="16">
        <v>3.6269</v>
      </c>
      <c r="BD10" s="17">
        <v>9.3145299999999995</v>
      </c>
    </row>
    <row r="11" spans="1:56" ht="15" thickBot="1" x14ac:dyDescent="0.4"/>
    <row r="12" spans="1:56" ht="15" thickBot="1" x14ac:dyDescent="0.4">
      <c r="G12" s="13" t="s">
        <v>18</v>
      </c>
      <c r="H12" s="9" t="s">
        <v>24</v>
      </c>
      <c r="I12" s="9"/>
      <c r="J12" s="9"/>
      <c r="K12" s="9"/>
      <c r="L12" s="13" t="s">
        <v>1</v>
      </c>
      <c r="M12" s="9" t="s">
        <v>23</v>
      </c>
      <c r="N12" s="9"/>
      <c r="O12" s="9"/>
      <c r="P12" s="9"/>
      <c r="Q12" s="13" t="s">
        <v>2</v>
      </c>
      <c r="R12" s="9" t="s">
        <v>41</v>
      </c>
      <c r="S12" s="9"/>
      <c r="T12" s="9"/>
      <c r="U12" s="9"/>
      <c r="V12" s="13" t="s">
        <v>7</v>
      </c>
      <c r="W12" s="9" t="s">
        <v>50</v>
      </c>
      <c r="X12" s="9"/>
      <c r="Y12" s="9"/>
      <c r="Z12" s="9"/>
      <c r="AA12" s="13" t="s">
        <v>9</v>
      </c>
      <c r="AB12" s="9" t="s">
        <v>216</v>
      </c>
      <c r="AC12" s="9"/>
      <c r="AD12" s="9"/>
      <c r="AE12" s="9"/>
      <c r="AF12" s="13" t="s">
        <v>16</v>
      </c>
      <c r="AG12" s="9" t="s">
        <v>51</v>
      </c>
      <c r="AH12" s="9"/>
      <c r="AI12" s="9"/>
      <c r="AJ12" s="9"/>
      <c r="AK12" s="13" t="s">
        <v>17</v>
      </c>
      <c r="AL12" s="9" t="s">
        <v>52</v>
      </c>
      <c r="AM12" s="9"/>
      <c r="AN12" s="9"/>
      <c r="AO12" s="9"/>
      <c r="AP12" s="13" t="s">
        <v>19</v>
      </c>
      <c r="AQ12" s="9" t="s">
        <v>53</v>
      </c>
      <c r="AR12" s="9"/>
      <c r="AS12" s="9"/>
      <c r="AT12" s="9"/>
      <c r="AU12" s="13" t="s">
        <v>21</v>
      </c>
      <c r="AV12" s="9" t="s">
        <v>54</v>
      </c>
      <c r="AW12" s="9"/>
      <c r="AX12" s="9"/>
      <c r="AY12" s="9"/>
      <c r="AZ12" s="13" t="s">
        <v>22</v>
      </c>
      <c r="BA12" s="9" t="s">
        <v>55</v>
      </c>
      <c r="BB12" s="9"/>
      <c r="BC12" s="9"/>
      <c r="BD12" s="12"/>
    </row>
    <row r="13" spans="1:56" ht="15" thickBot="1" x14ac:dyDescent="0.4">
      <c r="A13" s="13" t="s">
        <v>30</v>
      </c>
      <c r="B13" s="13" t="s">
        <v>29</v>
      </c>
      <c r="C13" s="13" t="s">
        <v>31</v>
      </c>
      <c r="D13" s="13" t="s">
        <v>27</v>
      </c>
      <c r="E13" s="13" t="s">
        <v>25</v>
      </c>
      <c r="F13" s="13" t="s">
        <v>28</v>
      </c>
      <c r="G13" s="11" t="s">
        <v>33</v>
      </c>
      <c r="H13" s="10" t="s">
        <v>34</v>
      </c>
      <c r="I13" s="10"/>
      <c r="J13" s="10" t="s">
        <v>35</v>
      </c>
      <c r="K13" s="10" t="s">
        <v>36</v>
      </c>
      <c r="L13" s="11" t="s">
        <v>33</v>
      </c>
      <c r="M13" s="10" t="s">
        <v>34</v>
      </c>
      <c r="N13" s="10"/>
      <c r="O13" s="10" t="s">
        <v>35</v>
      </c>
      <c r="P13" s="10" t="s">
        <v>36</v>
      </c>
      <c r="Q13" s="11" t="s">
        <v>33</v>
      </c>
      <c r="R13" s="10" t="s">
        <v>34</v>
      </c>
      <c r="S13" s="10"/>
      <c r="T13" s="10" t="s">
        <v>35</v>
      </c>
      <c r="U13" s="10" t="s">
        <v>36</v>
      </c>
      <c r="V13" s="11" t="s">
        <v>33</v>
      </c>
      <c r="W13" s="10" t="s">
        <v>34</v>
      </c>
      <c r="X13" s="10"/>
      <c r="Y13" s="10" t="s">
        <v>35</v>
      </c>
      <c r="Z13" s="10" t="s">
        <v>36</v>
      </c>
      <c r="AA13" s="11" t="s">
        <v>33</v>
      </c>
      <c r="AB13" s="10" t="s">
        <v>34</v>
      </c>
      <c r="AC13" s="10"/>
      <c r="AD13" s="10" t="s">
        <v>35</v>
      </c>
      <c r="AE13" s="10" t="s">
        <v>36</v>
      </c>
      <c r="AF13" s="11" t="s">
        <v>33</v>
      </c>
      <c r="AG13" s="10" t="s">
        <v>34</v>
      </c>
      <c r="AH13" s="10"/>
      <c r="AI13" s="10" t="s">
        <v>35</v>
      </c>
      <c r="AJ13" s="10" t="s">
        <v>36</v>
      </c>
      <c r="AK13" s="11" t="s">
        <v>33</v>
      </c>
      <c r="AL13" s="10" t="s">
        <v>34</v>
      </c>
      <c r="AM13" s="10"/>
      <c r="AN13" s="10" t="s">
        <v>35</v>
      </c>
      <c r="AO13" s="10" t="s">
        <v>36</v>
      </c>
      <c r="AP13" s="11" t="s">
        <v>33</v>
      </c>
      <c r="AQ13" s="10" t="s">
        <v>34</v>
      </c>
      <c r="AR13" s="10"/>
      <c r="AS13" s="10" t="s">
        <v>35</v>
      </c>
      <c r="AT13" s="10" t="s">
        <v>36</v>
      </c>
      <c r="AU13" s="11" t="s">
        <v>33</v>
      </c>
      <c r="AV13" s="10" t="s">
        <v>34</v>
      </c>
      <c r="AW13" s="10"/>
      <c r="AX13" s="10" t="s">
        <v>35</v>
      </c>
      <c r="AY13" s="10" t="s">
        <v>36</v>
      </c>
      <c r="AZ13" s="11" t="s">
        <v>33</v>
      </c>
      <c r="BA13" s="10" t="s">
        <v>34</v>
      </c>
      <c r="BB13" s="10"/>
      <c r="BC13" s="10" t="s">
        <v>35</v>
      </c>
      <c r="BD13" s="24" t="s">
        <v>36</v>
      </c>
    </row>
    <row r="14" spans="1:56" ht="15" thickBot="1" x14ac:dyDescent="0.4">
      <c r="A14" s="10" t="s">
        <v>219</v>
      </c>
      <c r="B14" s="11" t="s">
        <v>58</v>
      </c>
      <c r="C14" s="11" t="s">
        <v>218</v>
      </c>
      <c r="D14" s="11">
        <v>3.2396999999999999E-3</v>
      </c>
      <c r="E14" s="20">
        <v>45028</v>
      </c>
      <c r="F14" s="11">
        <v>1.9652662037037034</v>
      </c>
      <c r="G14" s="14"/>
      <c r="H14" s="16">
        <v>1.4684999999999999</v>
      </c>
      <c r="I14" s="15" t="s">
        <v>26</v>
      </c>
      <c r="J14" s="16">
        <v>6.0750999999999999</v>
      </c>
      <c r="K14" s="16">
        <v>11.8043</v>
      </c>
      <c r="L14" s="14"/>
      <c r="M14" s="15"/>
      <c r="N14" s="15" t="s">
        <v>26</v>
      </c>
      <c r="O14" s="15"/>
      <c r="P14" s="16">
        <v>11.254099999999999</v>
      </c>
      <c r="Q14" s="14"/>
      <c r="R14" s="15"/>
      <c r="S14" s="15" t="s">
        <v>26</v>
      </c>
      <c r="T14" s="15"/>
      <c r="U14" s="16">
        <v>1.8401700000000001</v>
      </c>
      <c r="V14" s="14"/>
      <c r="W14" s="15"/>
      <c r="X14" s="15" t="s">
        <v>26</v>
      </c>
      <c r="Y14" s="15"/>
      <c r="Z14" s="16">
        <v>7.5845599999999997</v>
      </c>
      <c r="AA14" s="14"/>
      <c r="AB14" s="15"/>
      <c r="AC14" s="15" t="s">
        <v>26</v>
      </c>
      <c r="AD14" s="15"/>
      <c r="AE14" s="16">
        <v>1.9453100000000001</v>
      </c>
      <c r="AF14" s="14"/>
      <c r="AG14" s="16">
        <v>5.6410000000000002E-2</v>
      </c>
      <c r="AH14" s="15" t="s">
        <v>26</v>
      </c>
      <c r="AI14" s="16">
        <v>0.92895000000000005</v>
      </c>
      <c r="AJ14" s="16">
        <v>1.5812900000000001</v>
      </c>
      <c r="AK14" s="14"/>
      <c r="AL14" s="15"/>
      <c r="AM14" s="15" t="s">
        <v>26</v>
      </c>
      <c r="AN14" s="15"/>
      <c r="AO14" s="16">
        <v>25.888999999999999</v>
      </c>
      <c r="AP14" s="14"/>
      <c r="AQ14" s="16">
        <v>3.9373</v>
      </c>
      <c r="AR14" s="15" t="s">
        <v>26</v>
      </c>
      <c r="AS14" s="16">
        <v>0.90495000000000003</v>
      </c>
      <c r="AT14" s="16">
        <v>3.7225899999999998</v>
      </c>
      <c r="AU14" s="14"/>
      <c r="AV14" s="16">
        <v>4.4324000000000003</v>
      </c>
      <c r="AW14" s="15" t="s">
        <v>26</v>
      </c>
      <c r="AX14" s="16">
        <v>0.90466999999999997</v>
      </c>
      <c r="AY14" s="16">
        <v>3.5722200000000002</v>
      </c>
      <c r="AZ14" s="14"/>
      <c r="BA14" s="16">
        <v>4.8619000000000003</v>
      </c>
      <c r="BB14" s="15" t="s">
        <v>26</v>
      </c>
      <c r="BC14" s="16">
        <v>3.8077999999999999</v>
      </c>
      <c r="BD14" s="17">
        <v>9.0710599999999992</v>
      </c>
    </row>
    <row r="15" spans="1:56" ht="15" thickBot="1" x14ac:dyDescent="0.4"/>
    <row r="16" spans="1:56" ht="15" thickBot="1" x14ac:dyDescent="0.4">
      <c r="G16" s="13" t="s">
        <v>18</v>
      </c>
      <c r="H16" s="9" t="s">
        <v>24</v>
      </c>
      <c r="I16" s="9"/>
      <c r="J16" s="9"/>
      <c r="K16" s="9"/>
      <c r="L16" s="13" t="s">
        <v>1</v>
      </c>
      <c r="M16" s="9" t="s">
        <v>23</v>
      </c>
      <c r="N16" s="9"/>
      <c r="O16" s="9"/>
      <c r="P16" s="9"/>
      <c r="Q16" s="13" t="s">
        <v>2</v>
      </c>
      <c r="R16" s="9" t="s">
        <v>41</v>
      </c>
      <c r="S16" s="9"/>
      <c r="T16" s="9"/>
      <c r="U16" s="9"/>
      <c r="V16" s="13" t="s">
        <v>7</v>
      </c>
      <c r="W16" s="9" t="s">
        <v>50</v>
      </c>
      <c r="X16" s="9"/>
      <c r="Y16" s="9"/>
      <c r="Z16" s="9"/>
      <c r="AA16" s="13" t="s">
        <v>9</v>
      </c>
      <c r="AB16" s="9" t="s">
        <v>216</v>
      </c>
      <c r="AC16" s="9"/>
      <c r="AD16" s="9"/>
      <c r="AE16" s="9"/>
      <c r="AF16" s="13" t="s">
        <v>16</v>
      </c>
      <c r="AG16" s="9" t="s">
        <v>51</v>
      </c>
      <c r="AH16" s="9"/>
      <c r="AI16" s="9"/>
      <c r="AJ16" s="9"/>
      <c r="AK16" s="13" t="s">
        <v>17</v>
      </c>
      <c r="AL16" s="9" t="s">
        <v>52</v>
      </c>
      <c r="AM16" s="9"/>
      <c r="AN16" s="9"/>
      <c r="AO16" s="9"/>
      <c r="AP16" s="13" t="s">
        <v>19</v>
      </c>
      <c r="AQ16" s="9" t="s">
        <v>53</v>
      </c>
      <c r="AR16" s="9"/>
      <c r="AS16" s="9"/>
      <c r="AT16" s="9"/>
      <c r="AU16" s="13" t="s">
        <v>21</v>
      </c>
      <c r="AV16" s="9" t="s">
        <v>54</v>
      </c>
      <c r="AW16" s="9"/>
      <c r="AX16" s="9"/>
      <c r="AY16" s="9"/>
      <c r="AZ16" s="13" t="s">
        <v>22</v>
      </c>
      <c r="BA16" s="9" t="s">
        <v>55</v>
      </c>
      <c r="BB16" s="9"/>
      <c r="BC16" s="9"/>
      <c r="BD16" s="12"/>
    </row>
    <row r="17" spans="1:56" ht="15" thickBot="1" x14ac:dyDescent="0.4">
      <c r="A17" s="13" t="s">
        <v>30</v>
      </c>
      <c r="B17" s="13" t="s">
        <v>29</v>
      </c>
      <c r="C17" s="13" t="s">
        <v>31</v>
      </c>
      <c r="D17" s="13" t="s">
        <v>27</v>
      </c>
      <c r="E17" s="13" t="s">
        <v>25</v>
      </c>
      <c r="F17" s="13" t="s">
        <v>28</v>
      </c>
      <c r="G17" s="13" t="s">
        <v>33</v>
      </c>
      <c r="H17" s="9" t="s">
        <v>34</v>
      </c>
      <c r="I17" s="9"/>
      <c r="J17" s="9" t="s">
        <v>35</v>
      </c>
      <c r="K17" s="9" t="s">
        <v>36</v>
      </c>
      <c r="L17" s="13" t="s">
        <v>33</v>
      </c>
      <c r="M17" s="9" t="s">
        <v>34</v>
      </c>
      <c r="N17" s="9"/>
      <c r="O17" s="9" t="s">
        <v>35</v>
      </c>
      <c r="P17" s="9" t="s">
        <v>36</v>
      </c>
      <c r="Q17" s="13" t="s">
        <v>33</v>
      </c>
      <c r="R17" s="9" t="s">
        <v>34</v>
      </c>
      <c r="S17" s="9"/>
      <c r="T17" s="9" t="s">
        <v>35</v>
      </c>
      <c r="U17" s="9" t="s">
        <v>36</v>
      </c>
      <c r="V17" s="13" t="s">
        <v>33</v>
      </c>
      <c r="W17" s="9" t="s">
        <v>34</v>
      </c>
      <c r="X17" s="9"/>
      <c r="Y17" s="9" t="s">
        <v>35</v>
      </c>
      <c r="Z17" s="9" t="s">
        <v>36</v>
      </c>
      <c r="AA17" s="13" t="s">
        <v>33</v>
      </c>
      <c r="AB17" s="9" t="s">
        <v>34</v>
      </c>
      <c r="AC17" s="9"/>
      <c r="AD17" s="9" t="s">
        <v>35</v>
      </c>
      <c r="AE17" s="9" t="s">
        <v>36</v>
      </c>
      <c r="AF17" s="13" t="s">
        <v>33</v>
      </c>
      <c r="AG17" s="9" t="s">
        <v>34</v>
      </c>
      <c r="AH17" s="9"/>
      <c r="AI17" s="9" t="s">
        <v>35</v>
      </c>
      <c r="AJ17" s="9" t="s">
        <v>36</v>
      </c>
      <c r="AK17" s="13" t="s">
        <v>33</v>
      </c>
      <c r="AL17" s="9" t="s">
        <v>34</v>
      </c>
      <c r="AM17" s="9"/>
      <c r="AN17" s="9" t="s">
        <v>35</v>
      </c>
      <c r="AO17" s="9" t="s">
        <v>36</v>
      </c>
      <c r="AP17" s="13" t="s">
        <v>33</v>
      </c>
      <c r="AQ17" s="9" t="s">
        <v>34</v>
      </c>
      <c r="AR17" s="9"/>
      <c r="AS17" s="9" t="s">
        <v>35</v>
      </c>
      <c r="AT17" s="9" t="s">
        <v>36</v>
      </c>
      <c r="AU17" s="13" t="s">
        <v>33</v>
      </c>
      <c r="AV17" s="9" t="s">
        <v>34</v>
      </c>
      <c r="AW17" s="9"/>
      <c r="AX17" s="9" t="s">
        <v>35</v>
      </c>
      <c r="AY17" s="9" t="s">
        <v>36</v>
      </c>
      <c r="AZ17" s="13" t="s">
        <v>33</v>
      </c>
      <c r="BA17" s="9" t="s">
        <v>34</v>
      </c>
      <c r="BB17" s="9"/>
      <c r="BC17" s="9" t="s">
        <v>35</v>
      </c>
      <c r="BD17" s="12" t="s">
        <v>36</v>
      </c>
    </row>
    <row r="18" spans="1:56" ht="15" thickBot="1" x14ac:dyDescent="0.4">
      <c r="A18" s="13" t="s">
        <v>219</v>
      </c>
      <c r="B18" s="13" t="s">
        <v>58</v>
      </c>
      <c r="C18" s="13" t="s">
        <v>218</v>
      </c>
      <c r="D18" s="13">
        <v>3.2396999999999999E-3</v>
      </c>
      <c r="E18" s="21">
        <v>45028</v>
      </c>
      <c r="F18" s="13">
        <v>1.9652662037037034</v>
      </c>
      <c r="G18" s="13"/>
      <c r="H18" s="22">
        <v>1.4684999999999999</v>
      </c>
      <c r="I18" s="9" t="s">
        <v>26</v>
      </c>
      <c r="J18" s="22">
        <v>6.0750999999999999</v>
      </c>
      <c r="K18" s="22">
        <v>11.8043</v>
      </c>
      <c r="L18" s="13"/>
      <c r="M18" s="9"/>
      <c r="N18" s="9" t="s">
        <v>26</v>
      </c>
      <c r="O18" s="9"/>
      <c r="P18" s="22">
        <v>11.254099999999999</v>
      </c>
      <c r="Q18" s="13"/>
      <c r="R18" s="9"/>
      <c r="S18" s="9" t="s">
        <v>26</v>
      </c>
      <c r="T18" s="9"/>
      <c r="U18" s="22">
        <v>1.8401700000000001</v>
      </c>
      <c r="V18" s="13"/>
      <c r="W18" s="9"/>
      <c r="X18" s="9" t="s">
        <v>26</v>
      </c>
      <c r="Y18" s="9"/>
      <c r="Z18" s="22">
        <v>7.5845599999999997</v>
      </c>
      <c r="AA18" s="13"/>
      <c r="AB18" s="9"/>
      <c r="AC18" s="9" t="s">
        <v>26</v>
      </c>
      <c r="AD18" s="9"/>
      <c r="AE18" s="22">
        <v>1.9453100000000001</v>
      </c>
      <c r="AF18" s="13"/>
      <c r="AG18" s="22">
        <v>5.6410000000000002E-2</v>
      </c>
      <c r="AH18" s="9" t="s">
        <v>26</v>
      </c>
      <c r="AI18" s="22">
        <v>0.92895000000000005</v>
      </c>
      <c r="AJ18" s="22">
        <v>1.5812900000000001</v>
      </c>
      <c r="AK18" s="13"/>
      <c r="AL18" s="9"/>
      <c r="AM18" s="9" t="s">
        <v>26</v>
      </c>
      <c r="AN18" s="9"/>
      <c r="AO18" s="22">
        <v>25.888999999999999</v>
      </c>
      <c r="AP18" s="13"/>
      <c r="AQ18" s="22">
        <v>3.9373</v>
      </c>
      <c r="AR18" s="9" t="s">
        <v>26</v>
      </c>
      <c r="AS18" s="22">
        <v>0.90495000000000003</v>
      </c>
      <c r="AT18" s="22">
        <v>3.7225899999999998</v>
      </c>
      <c r="AU18" s="13"/>
      <c r="AV18" s="22">
        <v>4.4324000000000003</v>
      </c>
      <c r="AW18" s="9" t="s">
        <v>26</v>
      </c>
      <c r="AX18" s="22">
        <v>0.90466999999999997</v>
      </c>
      <c r="AY18" s="22">
        <v>3.5722200000000002</v>
      </c>
      <c r="AZ18" s="13"/>
      <c r="BA18" s="22">
        <v>4.8619000000000003</v>
      </c>
      <c r="BB18" s="9" t="s">
        <v>26</v>
      </c>
      <c r="BC18" s="22">
        <v>3.8077999999999999</v>
      </c>
      <c r="BD18" s="23">
        <v>9.0710599999999992</v>
      </c>
    </row>
    <row r="19" spans="1:56" ht="15" thickBot="1" x14ac:dyDescent="0.4">
      <c r="A19" s="13" t="s">
        <v>220</v>
      </c>
      <c r="B19" s="13" t="s">
        <v>58</v>
      </c>
      <c r="C19" s="13" t="s">
        <v>218</v>
      </c>
      <c r="D19" s="13">
        <v>3.2483999999999998E-3</v>
      </c>
      <c r="E19" s="21">
        <v>45030</v>
      </c>
      <c r="F19" s="13">
        <v>2.8625231481481488</v>
      </c>
      <c r="G19" s="11"/>
      <c r="H19" s="10"/>
      <c r="I19" s="10" t="s">
        <v>26</v>
      </c>
      <c r="J19" s="10"/>
      <c r="K19" s="18">
        <v>19.420400000000001</v>
      </c>
      <c r="L19" s="11"/>
      <c r="M19" s="18">
        <v>2.3809</v>
      </c>
      <c r="N19" s="10" t="s">
        <v>26</v>
      </c>
      <c r="O19" s="18">
        <v>1.3582000000000001</v>
      </c>
      <c r="P19" s="18">
        <v>11.087199999999999</v>
      </c>
      <c r="Q19" s="11"/>
      <c r="R19" s="10"/>
      <c r="S19" s="10" t="s">
        <v>26</v>
      </c>
      <c r="T19" s="10"/>
      <c r="U19" s="18">
        <v>1.5164299999999999</v>
      </c>
      <c r="V19" s="11"/>
      <c r="W19" s="18">
        <v>0.11119999999999999</v>
      </c>
      <c r="X19" s="10" t="s">
        <v>26</v>
      </c>
      <c r="Y19" s="18">
        <v>0.82845999999999997</v>
      </c>
      <c r="Z19" s="18">
        <v>3.6706599999999998</v>
      </c>
      <c r="AA19" s="11"/>
      <c r="AB19" s="10"/>
      <c r="AC19" s="10" t="s">
        <v>26</v>
      </c>
      <c r="AD19" s="10"/>
      <c r="AE19" s="18">
        <v>1.6356599999999999</v>
      </c>
      <c r="AF19" s="11"/>
      <c r="AG19" s="18">
        <v>0.28294000000000002</v>
      </c>
      <c r="AH19" s="10" t="s">
        <v>26</v>
      </c>
      <c r="AI19" s="18">
        <v>0.30498999999999998</v>
      </c>
      <c r="AJ19" s="18">
        <v>1.2802899999999999</v>
      </c>
      <c r="AK19" s="11"/>
      <c r="AL19" s="10"/>
      <c r="AM19" s="10" t="s">
        <v>26</v>
      </c>
      <c r="AN19" s="10"/>
      <c r="AO19" s="18">
        <v>20.615500000000001</v>
      </c>
      <c r="AP19" s="11"/>
      <c r="AQ19" s="18">
        <v>4.8715000000000002</v>
      </c>
      <c r="AR19" s="10" t="s">
        <v>26</v>
      </c>
      <c r="AS19" s="18">
        <v>0.82130000000000003</v>
      </c>
      <c r="AT19" s="18">
        <v>3.3340200000000002</v>
      </c>
      <c r="AU19" s="11"/>
      <c r="AV19" s="18">
        <v>4.1117999999999997</v>
      </c>
      <c r="AW19" s="10" t="s">
        <v>26</v>
      </c>
      <c r="AX19" s="18">
        <v>1.8318000000000001</v>
      </c>
      <c r="AY19" s="18">
        <v>3.0441099999999999</v>
      </c>
      <c r="AZ19" s="11"/>
      <c r="BA19" s="18">
        <v>5.5305999999999997</v>
      </c>
      <c r="BB19" s="10" t="s">
        <v>26</v>
      </c>
      <c r="BC19" s="18">
        <v>1.6085</v>
      </c>
      <c r="BD19" s="19">
        <v>7.43093</v>
      </c>
    </row>
    <row r="20" spans="1:56" ht="15" thickBot="1" x14ac:dyDescent="0.4">
      <c r="A20" s="10" t="s">
        <v>217</v>
      </c>
      <c r="B20" s="11" t="s">
        <v>58</v>
      </c>
      <c r="C20" s="11" t="s">
        <v>218</v>
      </c>
      <c r="D20" s="11">
        <v>3.1782999999999998E-3</v>
      </c>
      <c r="E20" s="20">
        <v>45033</v>
      </c>
      <c r="F20" s="11">
        <v>1.9725694444444446</v>
      </c>
      <c r="G20" s="14"/>
      <c r="H20" s="16">
        <v>0.94105000000000005</v>
      </c>
      <c r="I20" s="15" t="s">
        <v>26</v>
      </c>
      <c r="J20" s="16">
        <v>2.7454000000000001</v>
      </c>
      <c r="K20" s="16">
        <v>12.8192</v>
      </c>
      <c r="L20" s="14"/>
      <c r="M20" s="16">
        <v>3.3460999999999999</v>
      </c>
      <c r="N20" s="15" t="s">
        <v>26</v>
      </c>
      <c r="O20" s="16">
        <v>1.238</v>
      </c>
      <c r="P20" s="16">
        <v>6.2232399999999997</v>
      </c>
      <c r="Q20" s="14"/>
      <c r="R20" s="15"/>
      <c r="S20" s="15" t="s">
        <v>26</v>
      </c>
      <c r="T20" s="15"/>
      <c r="U20" s="16">
        <v>1.84294</v>
      </c>
      <c r="V20" s="14"/>
      <c r="W20" s="16">
        <v>1.1171</v>
      </c>
      <c r="X20" s="15" t="s">
        <v>26</v>
      </c>
      <c r="Y20" s="16">
        <v>1.0132000000000001</v>
      </c>
      <c r="Z20" s="16">
        <v>4.6887499999999998</v>
      </c>
      <c r="AA20" s="14"/>
      <c r="AB20" s="15"/>
      <c r="AC20" s="15" t="s">
        <v>26</v>
      </c>
      <c r="AD20" s="15"/>
      <c r="AE20" s="16">
        <v>2.0777399999999999</v>
      </c>
      <c r="AF20" s="14"/>
      <c r="AG20" s="16">
        <v>7.6395000000000005E-2</v>
      </c>
      <c r="AH20" s="15" t="s">
        <v>26</v>
      </c>
      <c r="AI20" s="16">
        <v>0.82974000000000003</v>
      </c>
      <c r="AJ20" s="16">
        <v>1.6367499999999999</v>
      </c>
      <c r="AK20" s="14"/>
      <c r="AL20" s="15"/>
      <c r="AM20" s="15" t="s">
        <v>26</v>
      </c>
      <c r="AN20" s="15"/>
      <c r="AO20" s="16">
        <v>25.079699999999999</v>
      </c>
      <c r="AP20" s="14"/>
      <c r="AQ20" s="16">
        <v>1.8695999999999999</v>
      </c>
      <c r="AR20" s="15" t="s">
        <v>26</v>
      </c>
      <c r="AS20" s="16">
        <v>2.2612000000000001</v>
      </c>
      <c r="AT20" s="16">
        <v>3.8336100000000002</v>
      </c>
      <c r="AU20" s="14"/>
      <c r="AV20" s="16">
        <v>2.8290999999999999</v>
      </c>
      <c r="AW20" s="15" t="s">
        <v>26</v>
      </c>
      <c r="AX20" s="16">
        <v>0.86284000000000005</v>
      </c>
      <c r="AY20" s="16">
        <v>3.5274700000000001</v>
      </c>
      <c r="AZ20" s="14"/>
      <c r="BA20" s="16">
        <v>7.0175999999999998</v>
      </c>
      <c r="BB20" s="15" t="s">
        <v>26</v>
      </c>
      <c r="BC20" s="16">
        <v>3.6269</v>
      </c>
      <c r="BD20" s="17">
        <v>9.3145299999999995</v>
      </c>
    </row>
    <row r="21" spans="1:56" ht="15" thickBot="1" x14ac:dyDescent="0.4"/>
    <row r="22" spans="1:56" ht="15" thickBot="1" x14ac:dyDescent="0.4">
      <c r="G22" s="13" t="s">
        <v>18</v>
      </c>
      <c r="H22" s="9" t="s">
        <v>24</v>
      </c>
      <c r="I22" s="9"/>
      <c r="J22" s="9"/>
      <c r="K22" s="9"/>
      <c r="L22" s="13" t="s">
        <v>1</v>
      </c>
      <c r="M22" s="9" t="s">
        <v>23</v>
      </c>
      <c r="N22" s="9"/>
      <c r="O22" s="9"/>
      <c r="P22" s="9"/>
      <c r="Q22" s="13" t="s">
        <v>2</v>
      </c>
      <c r="R22" s="9" t="s">
        <v>41</v>
      </c>
      <c r="S22" s="9"/>
      <c r="T22" s="9"/>
      <c r="U22" s="9"/>
      <c r="V22" s="13" t="s">
        <v>7</v>
      </c>
      <c r="W22" s="9" t="s">
        <v>50</v>
      </c>
      <c r="X22" s="9"/>
      <c r="Y22" s="9"/>
      <c r="Z22" s="9"/>
      <c r="AA22" s="13" t="s">
        <v>9</v>
      </c>
      <c r="AB22" s="9" t="s">
        <v>216</v>
      </c>
      <c r="AC22" s="9"/>
      <c r="AD22" s="9"/>
      <c r="AE22" s="9"/>
      <c r="AF22" s="13" t="s">
        <v>16</v>
      </c>
      <c r="AG22" s="9" t="s">
        <v>51</v>
      </c>
      <c r="AH22" s="9"/>
      <c r="AI22" s="9"/>
      <c r="AJ22" s="9"/>
      <c r="AK22" s="13" t="s">
        <v>17</v>
      </c>
      <c r="AL22" s="9" t="s">
        <v>52</v>
      </c>
      <c r="AM22" s="9"/>
      <c r="AN22" s="9"/>
      <c r="AO22" s="9"/>
      <c r="AP22" s="13" t="s">
        <v>19</v>
      </c>
      <c r="AQ22" s="9" t="s">
        <v>53</v>
      </c>
      <c r="AR22" s="9"/>
      <c r="AS22" s="9"/>
      <c r="AT22" s="9"/>
      <c r="AU22" s="13" t="s">
        <v>21</v>
      </c>
      <c r="AV22" s="9" t="s">
        <v>54</v>
      </c>
      <c r="AW22" s="9"/>
      <c r="AX22" s="9"/>
      <c r="AY22" s="9"/>
      <c r="AZ22" s="13" t="s">
        <v>22</v>
      </c>
      <c r="BA22" s="9" t="s">
        <v>55</v>
      </c>
      <c r="BB22" s="9"/>
      <c r="BC22" s="9"/>
      <c r="BD22" s="12"/>
    </row>
    <row r="23" spans="1:56" ht="15" thickBot="1" x14ac:dyDescent="0.4">
      <c r="A23" s="13" t="s">
        <v>30</v>
      </c>
      <c r="B23" s="13" t="s">
        <v>29</v>
      </c>
      <c r="C23" s="13" t="s">
        <v>31</v>
      </c>
      <c r="D23" s="13" t="s">
        <v>27</v>
      </c>
      <c r="E23" s="13" t="s">
        <v>25</v>
      </c>
      <c r="F23" s="13" t="s">
        <v>28</v>
      </c>
      <c r="G23" s="11" t="s">
        <v>33</v>
      </c>
      <c r="H23" s="10" t="s">
        <v>34</v>
      </c>
      <c r="I23" s="10"/>
      <c r="J23" s="10" t="s">
        <v>35</v>
      </c>
      <c r="K23" s="10" t="s">
        <v>36</v>
      </c>
      <c r="L23" s="11" t="s">
        <v>33</v>
      </c>
      <c r="M23" s="10" t="s">
        <v>34</v>
      </c>
      <c r="N23" s="10"/>
      <c r="O23" s="10" t="s">
        <v>35</v>
      </c>
      <c r="P23" s="10" t="s">
        <v>36</v>
      </c>
      <c r="Q23" s="11" t="s">
        <v>33</v>
      </c>
      <c r="R23" s="10" t="s">
        <v>34</v>
      </c>
      <c r="S23" s="10"/>
      <c r="T23" s="10" t="s">
        <v>35</v>
      </c>
      <c r="U23" s="10" t="s">
        <v>36</v>
      </c>
      <c r="V23" s="11" t="s">
        <v>33</v>
      </c>
      <c r="W23" s="10" t="s">
        <v>34</v>
      </c>
      <c r="X23" s="10"/>
      <c r="Y23" s="10" t="s">
        <v>35</v>
      </c>
      <c r="Z23" s="10" t="s">
        <v>36</v>
      </c>
      <c r="AA23" s="11" t="s">
        <v>33</v>
      </c>
      <c r="AB23" s="10" t="s">
        <v>34</v>
      </c>
      <c r="AC23" s="10"/>
      <c r="AD23" s="10" t="s">
        <v>35</v>
      </c>
      <c r="AE23" s="10" t="s">
        <v>36</v>
      </c>
      <c r="AF23" s="11" t="s">
        <v>33</v>
      </c>
      <c r="AG23" s="10" t="s">
        <v>34</v>
      </c>
      <c r="AH23" s="10"/>
      <c r="AI23" s="10" t="s">
        <v>35</v>
      </c>
      <c r="AJ23" s="10" t="s">
        <v>36</v>
      </c>
      <c r="AK23" s="11" t="s">
        <v>33</v>
      </c>
      <c r="AL23" s="10" t="s">
        <v>34</v>
      </c>
      <c r="AM23" s="10"/>
      <c r="AN23" s="10" t="s">
        <v>35</v>
      </c>
      <c r="AO23" s="10" t="s">
        <v>36</v>
      </c>
      <c r="AP23" s="11" t="s">
        <v>33</v>
      </c>
      <c r="AQ23" s="10" t="s">
        <v>34</v>
      </c>
      <c r="AR23" s="10"/>
      <c r="AS23" s="10" t="s">
        <v>35</v>
      </c>
      <c r="AT23" s="10" t="s">
        <v>36</v>
      </c>
      <c r="AU23" s="11" t="s">
        <v>33</v>
      </c>
      <c r="AV23" s="10" t="s">
        <v>34</v>
      </c>
      <c r="AW23" s="10"/>
      <c r="AX23" s="10" t="s">
        <v>35</v>
      </c>
      <c r="AY23" s="10" t="s">
        <v>36</v>
      </c>
      <c r="AZ23" s="11" t="s">
        <v>33</v>
      </c>
      <c r="BA23" s="10" t="s">
        <v>34</v>
      </c>
      <c r="BB23" s="10"/>
      <c r="BC23" s="10" t="s">
        <v>35</v>
      </c>
      <c r="BD23" s="24" t="s">
        <v>36</v>
      </c>
    </row>
    <row r="24" spans="1:56" ht="15" thickBot="1" x14ac:dyDescent="0.4">
      <c r="A24" s="10" t="s">
        <v>220</v>
      </c>
      <c r="B24" s="11" t="s">
        <v>58</v>
      </c>
      <c r="C24" s="11" t="s">
        <v>218</v>
      </c>
      <c r="D24" s="11">
        <v>3.2483999999999998E-3</v>
      </c>
      <c r="E24" s="20">
        <v>45030</v>
      </c>
      <c r="F24" s="11">
        <v>2.8625231481481488</v>
      </c>
      <c r="G24" s="14"/>
      <c r="H24" s="15"/>
      <c r="I24" s="15" t="s">
        <v>26</v>
      </c>
      <c r="J24" s="15"/>
      <c r="K24" s="16">
        <v>19.420400000000001</v>
      </c>
      <c r="L24" s="14"/>
      <c r="M24" s="16">
        <v>2.3809</v>
      </c>
      <c r="N24" s="15" t="s">
        <v>26</v>
      </c>
      <c r="O24" s="16">
        <v>1.3582000000000001</v>
      </c>
      <c r="P24" s="16">
        <v>11.087199999999999</v>
      </c>
      <c r="Q24" s="14"/>
      <c r="R24" s="15"/>
      <c r="S24" s="15" t="s">
        <v>26</v>
      </c>
      <c r="T24" s="15"/>
      <c r="U24" s="16">
        <v>1.5164299999999999</v>
      </c>
      <c r="V24" s="14"/>
      <c r="W24" s="16">
        <v>0.11119999999999999</v>
      </c>
      <c r="X24" s="15" t="s">
        <v>26</v>
      </c>
      <c r="Y24" s="16">
        <v>0.82845999999999997</v>
      </c>
      <c r="Z24" s="16">
        <v>3.6706599999999998</v>
      </c>
      <c r="AA24" s="14"/>
      <c r="AB24" s="15"/>
      <c r="AC24" s="15" t="s">
        <v>26</v>
      </c>
      <c r="AD24" s="15"/>
      <c r="AE24" s="16">
        <v>1.6356599999999999</v>
      </c>
      <c r="AF24" s="14"/>
      <c r="AG24" s="16">
        <v>0.28294000000000002</v>
      </c>
      <c r="AH24" s="15" t="s">
        <v>26</v>
      </c>
      <c r="AI24" s="16">
        <v>0.30498999999999998</v>
      </c>
      <c r="AJ24" s="16">
        <v>1.2802899999999999</v>
      </c>
      <c r="AK24" s="14"/>
      <c r="AL24" s="15"/>
      <c r="AM24" s="15" t="s">
        <v>26</v>
      </c>
      <c r="AN24" s="15"/>
      <c r="AO24" s="16">
        <v>20.615500000000001</v>
      </c>
      <c r="AP24" s="14"/>
      <c r="AQ24" s="16">
        <v>4.8715000000000002</v>
      </c>
      <c r="AR24" s="15" t="s">
        <v>26</v>
      </c>
      <c r="AS24" s="16">
        <v>0.82130000000000003</v>
      </c>
      <c r="AT24" s="16">
        <v>3.3340200000000002</v>
      </c>
      <c r="AU24" s="14"/>
      <c r="AV24" s="16">
        <v>4.1117999999999997</v>
      </c>
      <c r="AW24" s="15" t="s">
        <v>26</v>
      </c>
      <c r="AX24" s="16">
        <v>1.8318000000000001</v>
      </c>
      <c r="AY24" s="16">
        <v>3.0441099999999999</v>
      </c>
      <c r="AZ24" s="14"/>
      <c r="BA24" s="16">
        <v>5.5305999999999997</v>
      </c>
      <c r="BB24" s="15" t="s">
        <v>26</v>
      </c>
      <c r="BC24" s="16">
        <v>1.6085</v>
      </c>
      <c r="BD24" s="17">
        <v>7.43093</v>
      </c>
    </row>
    <row r="25" spans="1:56" ht="15" thickBot="1" x14ac:dyDescent="0.4"/>
    <row r="26" spans="1:56" ht="15" thickBot="1" x14ac:dyDescent="0.4">
      <c r="G26" s="13" t="s">
        <v>18</v>
      </c>
      <c r="H26" s="9" t="s">
        <v>24</v>
      </c>
      <c r="I26" s="9"/>
      <c r="J26" s="9"/>
      <c r="K26" s="9"/>
      <c r="L26" s="13" t="s">
        <v>1</v>
      </c>
      <c r="M26" s="9" t="s">
        <v>23</v>
      </c>
      <c r="N26" s="9"/>
      <c r="O26" s="9"/>
      <c r="P26" s="9"/>
      <c r="Q26" s="13" t="s">
        <v>2</v>
      </c>
      <c r="R26" s="9" t="s">
        <v>41</v>
      </c>
      <c r="S26" s="9"/>
      <c r="T26" s="9"/>
      <c r="U26" s="9"/>
      <c r="V26" s="13" t="s">
        <v>7</v>
      </c>
      <c r="W26" s="9" t="s">
        <v>50</v>
      </c>
      <c r="X26" s="9"/>
      <c r="Y26" s="9"/>
      <c r="Z26" s="9"/>
      <c r="AA26" s="13" t="s">
        <v>9</v>
      </c>
      <c r="AB26" s="9" t="s">
        <v>216</v>
      </c>
      <c r="AC26" s="9"/>
      <c r="AD26" s="9"/>
      <c r="AE26" s="9"/>
      <c r="AF26" s="13" t="s">
        <v>16</v>
      </c>
      <c r="AG26" s="9" t="s">
        <v>51</v>
      </c>
      <c r="AH26" s="9"/>
      <c r="AI26" s="9"/>
      <c r="AJ26" s="9"/>
      <c r="AK26" s="13" t="s">
        <v>17</v>
      </c>
      <c r="AL26" s="9" t="s">
        <v>52</v>
      </c>
      <c r="AM26" s="9"/>
      <c r="AN26" s="9"/>
      <c r="AO26" s="9"/>
      <c r="AP26" s="13" t="s">
        <v>19</v>
      </c>
      <c r="AQ26" s="9" t="s">
        <v>53</v>
      </c>
      <c r="AR26" s="9"/>
      <c r="AS26" s="9"/>
      <c r="AT26" s="9"/>
      <c r="AU26" s="13" t="s">
        <v>21</v>
      </c>
      <c r="AV26" s="9" t="s">
        <v>54</v>
      </c>
      <c r="AW26" s="9"/>
      <c r="AX26" s="9"/>
      <c r="AY26" s="9"/>
      <c r="AZ26" s="13" t="s">
        <v>22</v>
      </c>
      <c r="BA26" s="9" t="s">
        <v>55</v>
      </c>
      <c r="BB26" s="9"/>
      <c r="BC26" s="9"/>
      <c r="BD26" s="12"/>
    </row>
    <row r="27" spans="1:56" ht="15" thickBot="1" x14ac:dyDescent="0.4">
      <c r="A27" s="13" t="s">
        <v>30</v>
      </c>
      <c r="B27" s="13" t="s">
        <v>29</v>
      </c>
      <c r="C27" s="13" t="s">
        <v>31</v>
      </c>
      <c r="D27" s="13" t="s">
        <v>27</v>
      </c>
      <c r="E27" s="13" t="s">
        <v>25</v>
      </c>
      <c r="F27" s="13" t="s">
        <v>28</v>
      </c>
      <c r="G27" s="13" t="s">
        <v>33</v>
      </c>
      <c r="H27" s="9" t="s">
        <v>34</v>
      </c>
      <c r="I27" s="9"/>
      <c r="J27" s="9" t="s">
        <v>35</v>
      </c>
      <c r="K27" s="9" t="s">
        <v>36</v>
      </c>
      <c r="L27" s="13" t="s">
        <v>33</v>
      </c>
      <c r="M27" s="9" t="s">
        <v>34</v>
      </c>
      <c r="N27" s="9"/>
      <c r="O27" s="9" t="s">
        <v>35</v>
      </c>
      <c r="P27" s="9" t="s">
        <v>36</v>
      </c>
      <c r="Q27" s="13" t="s">
        <v>33</v>
      </c>
      <c r="R27" s="9" t="s">
        <v>34</v>
      </c>
      <c r="S27" s="9"/>
      <c r="T27" s="9" t="s">
        <v>35</v>
      </c>
      <c r="U27" s="9" t="s">
        <v>36</v>
      </c>
      <c r="V27" s="13" t="s">
        <v>33</v>
      </c>
      <c r="W27" s="9" t="s">
        <v>34</v>
      </c>
      <c r="X27" s="9"/>
      <c r="Y27" s="9" t="s">
        <v>35</v>
      </c>
      <c r="Z27" s="9" t="s">
        <v>36</v>
      </c>
      <c r="AA27" s="13" t="s">
        <v>33</v>
      </c>
      <c r="AB27" s="9" t="s">
        <v>34</v>
      </c>
      <c r="AC27" s="9"/>
      <c r="AD27" s="9" t="s">
        <v>35</v>
      </c>
      <c r="AE27" s="9" t="s">
        <v>36</v>
      </c>
      <c r="AF27" s="13" t="s">
        <v>33</v>
      </c>
      <c r="AG27" s="9" t="s">
        <v>34</v>
      </c>
      <c r="AH27" s="9"/>
      <c r="AI27" s="9" t="s">
        <v>35</v>
      </c>
      <c r="AJ27" s="9" t="s">
        <v>36</v>
      </c>
      <c r="AK27" s="13" t="s">
        <v>33</v>
      </c>
      <c r="AL27" s="9" t="s">
        <v>34</v>
      </c>
      <c r="AM27" s="9"/>
      <c r="AN27" s="9" t="s">
        <v>35</v>
      </c>
      <c r="AO27" s="9" t="s">
        <v>36</v>
      </c>
      <c r="AP27" s="13" t="s">
        <v>33</v>
      </c>
      <c r="AQ27" s="9" t="s">
        <v>34</v>
      </c>
      <c r="AR27" s="9"/>
      <c r="AS27" s="9" t="s">
        <v>35</v>
      </c>
      <c r="AT27" s="9" t="s">
        <v>36</v>
      </c>
      <c r="AU27" s="13" t="s">
        <v>33</v>
      </c>
      <c r="AV27" s="9" t="s">
        <v>34</v>
      </c>
      <c r="AW27" s="9"/>
      <c r="AX27" s="9" t="s">
        <v>35</v>
      </c>
      <c r="AY27" s="9" t="s">
        <v>36</v>
      </c>
      <c r="AZ27" s="13" t="s">
        <v>33</v>
      </c>
      <c r="BA27" s="9" t="s">
        <v>34</v>
      </c>
      <c r="BB27" s="9"/>
      <c r="BC27" s="9" t="s">
        <v>35</v>
      </c>
      <c r="BD27" s="12" t="s">
        <v>36</v>
      </c>
    </row>
    <row r="28" spans="1:56" ht="15" thickBot="1" x14ac:dyDescent="0.4">
      <c r="A28" s="13" t="s">
        <v>219</v>
      </c>
      <c r="B28" s="13" t="s">
        <v>58</v>
      </c>
      <c r="C28" s="13" t="s">
        <v>218</v>
      </c>
      <c r="D28" s="13">
        <v>3.2396999999999999E-3</v>
      </c>
      <c r="E28" s="21">
        <v>45028</v>
      </c>
      <c r="F28" s="13">
        <v>1.9652662037037034</v>
      </c>
      <c r="G28" s="13"/>
      <c r="H28" s="22">
        <v>1.4684999999999999</v>
      </c>
      <c r="I28" s="9" t="s">
        <v>26</v>
      </c>
      <c r="J28" s="22">
        <v>6.0750999999999999</v>
      </c>
      <c r="K28" s="22">
        <v>11.8043</v>
      </c>
      <c r="L28" s="13"/>
      <c r="M28" s="9"/>
      <c r="N28" s="9" t="s">
        <v>26</v>
      </c>
      <c r="O28" s="9"/>
      <c r="P28" s="22">
        <v>11.254099999999999</v>
      </c>
      <c r="Q28" s="13"/>
      <c r="R28" s="9"/>
      <c r="S28" s="9" t="s">
        <v>26</v>
      </c>
      <c r="T28" s="9"/>
      <c r="U28" s="22">
        <v>1.8401700000000001</v>
      </c>
      <c r="V28" s="13"/>
      <c r="W28" s="9"/>
      <c r="X28" s="9" t="s">
        <v>26</v>
      </c>
      <c r="Y28" s="9"/>
      <c r="Z28" s="22">
        <v>7.5845599999999997</v>
      </c>
      <c r="AA28" s="13"/>
      <c r="AB28" s="9"/>
      <c r="AC28" s="9" t="s">
        <v>26</v>
      </c>
      <c r="AD28" s="9"/>
      <c r="AE28" s="22">
        <v>1.9453100000000001</v>
      </c>
      <c r="AF28" s="13"/>
      <c r="AG28" s="22">
        <v>5.6410000000000002E-2</v>
      </c>
      <c r="AH28" s="9" t="s">
        <v>26</v>
      </c>
      <c r="AI28" s="22">
        <v>0.92895000000000005</v>
      </c>
      <c r="AJ28" s="22">
        <v>1.5812900000000001</v>
      </c>
      <c r="AK28" s="13"/>
      <c r="AL28" s="9"/>
      <c r="AM28" s="9" t="s">
        <v>26</v>
      </c>
      <c r="AN28" s="9"/>
      <c r="AO28" s="22">
        <v>25.888999999999999</v>
      </c>
      <c r="AP28" s="13"/>
      <c r="AQ28" s="22">
        <v>3.9373</v>
      </c>
      <c r="AR28" s="9" t="s">
        <v>26</v>
      </c>
      <c r="AS28" s="22">
        <v>0.90495000000000003</v>
      </c>
      <c r="AT28" s="22">
        <v>3.7225899999999998</v>
      </c>
      <c r="AU28" s="13"/>
      <c r="AV28" s="22">
        <v>4.4324000000000003</v>
      </c>
      <c r="AW28" s="9" t="s">
        <v>26</v>
      </c>
      <c r="AX28" s="22">
        <v>0.90466999999999997</v>
      </c>
      <c r="AY28" s="22">
        <v>3.5722200000000002</v>
      </c>
      <c r="AZ28" s="13"/>
      <c r="BA28" s="22">
        <v>4.8619000000000003</v>
      </c>
      <c r="BB28" s="9" t="s">
        <v>26</v>
      </c>
      <c r="BC28" s="22">
        <v>3.8077999999999999</v>
      </c>
      <c r="BD28" s="23">
        <v>9.0710599999999992</v>
      </c>
    </row>
    <row r="29" spans="1:56" ht="15" thickBot="1" x14ac:dyDescent="0.4">
      <c r="A29" s="13" t="s">
        <v>220</v>
      </c>
      <c r="B29" s="13" t="s">
        <v>58</v>
      </c>
      <c r="C29" s="13" t="s">
        <v>218</v>
      </c>
      <c r="D29" s="13">
        <v>3.2483999999999998E-3</v>
      </c>
      <c r="E29" s="21">
        <v>45030</v>
      </c>
      <c r="F29" s="13">
        <v>2.8625231481481488</v>
      </c>
      <c r="G29" s="13"/>
      <c r="H29" s="9"/>
      <c r="I29" s="9" t="s">
        <v>26</v>
      </c>
      <c r="J29" s="9"/>
      <c r="K29" s="22">
        <v>19.420400000000001</v>
      </c>
      <c r="L29" s="13"/>
      <c r="M29" s="22">
        <v>2.3809</v>
      </c>
      <c r="N29" s="9" t="s">
        <v>26</v>
      </c>
      <c r="O29" s="22">
        <v>1.3582000000000001</v>
      </c>
      <c r="P29" s="22">
        <v>11.087199999999999</v>
      </c>
      <c r="Q29" s="13"/>
      <c r="R29" s="9"/>
      <c r="S29" s="9" t="s">
        <v>26</v>
      </c>
      <c r="T29" s="9"/>
      <c r="U29" s="22">
        <v>1.5164299999999999</v>
      </c>
      <c r="V29" s="13"/>
      <c r="W29" s="22">
        <v>0.11119999999999999</v>
      </c>
      <c r="X29" s="9" t="s">
        <v>26</v>
      </c>
      <c r="Y29" s="22">
        <v>0.82845999999999997</v>
      </c>
      <c r="Z29" s="22">
        <v>3.6706599999999998</v>
      </c>
      <c r="AA29" s="13"/>
      <c r="AB29" s="9"/>
      <c r="AC29" s="9" t="s">
        <v>26</v>
      </c>
      <c r="AD29" s="9"/>
      <c r="AE29" s="22">
        <v>1.6356599999999999</v>
      </c>
      <c r="AF29" s="13"/>
      <c r="AG29" s="22">
        <v>0.28294000000000002</v>
      </c>
      <c r="AH29" s="9" t="s">
        <v>26</v>
      </c>
      <c r="AI29" s="22">
        <v>0.30498999999999998</v>
      </c>
      <c r="AJ29" s="22">
        <v>1.2802899999999999</v>
      </c>
      <c r="AK29" s="13"/>
      <c r="AL29" s="9"/>
      <c r="AM29" s="9" t="s">
        <v>26</v>
      </c>
      <c r="AN29" s="9"/>
      <c r="AO29" s="22">
        <v>20.615500000000001</v>
      </c>
      <c r="AP29" s="13"/>
      <c r="AQ29" s="22">
        <v>4.8715000000000002</v>
      </c>
      <c r="AR29" s="9" t="s">
        <v>26</v>
      </c>
      <c r="AS29" s="22">
        <v>0.82130000000000003</v>
      </c>
      <c r="AT29" s="22">
        <v>3.3340200000000002</v>
      </c>
      <c r="AU29" s="13"/>
      <c r="AV29" s="22">
        <v>4.1117999999999997</v>
      </c>
      <c r="AW29" s="9" t="s">
        <v>26</v>
      </c>
      <c r="AX29" s="22">
        <v>1.8318000000000001</v>
      </c>
      <c r="AY29" s="22">
        <v>3.0441099999999999</v>
      </c>
      <c r="AZ29" s="13"/>
      <c r="BA29" s="22">
        <v>5.5305999999999997</v>
      </c>
      <c r="BB29" s="9" t="s">
        <v>26</v>
      </c>
      <c r="BC29" s="22">
        <v>1.6085</v>
      </c>
      <c r="BD29" s="23">
        <v>7.43093</v>
      </c>
    </row>
    <row r="30" spans="1:56" ht="15" thickBot="1" x14ac:dyDescent="0.4">
      <c r="A30" s="13" t="s">
        <v>217</v>
      </c>
      <c r="B30" s="13" t="s">
        <v>58</v>
      </c>
      <c r="C30" s="13" t="s">
        <v>218</v>
      </c>
      <c r="D30" s="13">
        <v>3.1782999999999998E-3</v>
      </c>
      <c r="E30" s="21">
        <v>45033</v>
      </c>
      <c r="F30" s="13">
        <v>1.9725694444444446</v>
      </c>
      <c r="G30" s="13"/>
      <c r="H30" s="22">
        <v>0.94105000000000005</v>
      </c>
      <c r="I30" s="9" t="s">
        <v>26</v>
      </c>
      <c r="J30" s="22">
        <v>2.7454000000000001</v>
      </c>
      <c r="K30" s="22">
        <v>12.8192</v>
      </c>
      <c r="L30" s="13"/>
      <c r="M30" s="22">
        <v>3.3460999999999999</v>
      </c>
      <c r="N30" s="9" t="s">
        <v>26</v>
      </c>
      <c r="O30" s="22">
        <v>1.238</v>
      </c>
      <c r="P30" s="22">
        <v>6.2232399999999997</v>
      </c>
      <c r="Q30" s="13"/>
      <c r="R30" s="9"/>
      <c r="S30" s="9" t="s">
        <v>26</v>
      </c>
      <c r="T30" s="9"/>
      <c r="U30" s="22">
        <v>1.84294</v>
      </c>
      <c r="V30" s="13"/>
      <c r="W30" s="22">
        <v>1.1171</v>
      </c>
      <c r="X30" s="9" t="s">
        <v>26</v>
      </c>
      <c r="Y30" s="22">
        <v>1.0132000000000001</v>
      </c>
      <c r="Z30" s="22">
        <v>4.6887499999999998</v>
      </c>
      <c r="AA30" s="13"/>
      <c r="AB30" s="9"/>
      <c r="AC30" s="9" t="s">
        <v>26</v>
      </c>
      <c r="AD30" s="9"/>
      <c r="AE30" s="22">
        <v>2.0777399999999999</v>
      </c>
      <c r="AF30" s="13"/>
      <c r="AG30" s="22">
        <v>7.6395000000000005E-2</v>
      </c>
      <c r="AH30" s="9" t="s">
        <v>26</v>
      </c>
      <c r="AI30" s="22">
        <v>0.82974000000000003</v>
      </c>
      <c r="AJ30" s="22">
        <v>1.6367499999999999</v>
      </c>
      <c r="AK30" s="13"/>
      <c r="AL30" s="9"/>
      <c r="AM30" s="9" t="s">
        <v>26</v>
      </c>
      <c r="AN30" s="9"/>
      <c r="AO30" s="22">
        <v>25.079699999999999</v>
      </c>
      <c r="AP30" s="13"/>
      <c r="AQ30" s="22">
        <v>1.8695999999999999</v>
      </c>
      <c r="AR30" s="9" t="s">
        <v>26</v>
      </c>
      <c r="AS30" s="22">
        <v>2.2612000000000001</v>
      </c>
      <c r="AT30" s="22">
        <v>3.8336100000000002</v>
      </c>
      <c r="AU30" s="13"/>
      <c r="AV30" s="22">
        <v>2.8290999999999999</v>
      </c>
      <c r="AW30" s="9" t="s">
        <v>26</v>
      </c>
      <c r="AX30" s="22">
        <v>0.86284000000000005</v>
      </c>
      <c r="AY30" s="22">
        <v>3.5274700000000001</v>
      </c>
      <c r="AZ30" s="13"/>
      <c r="BA30" s="22">
        <v>7.0175999999999998</v>
      </c>
      <c r="BB30" s="9" t="s">
        <v>26</v>
      </c>
      <c r="BC30" s="22">
        <v>3.6269</v>
      </c>
      <c r="BD30" s="23">
        <v>9.3145299999999995</v>
      </c>
    </row>
    <row r="31" spans="1:56" ht="15" thickBot="1" x14ac:dyDescent="0.4">
      <c r="A31" s="13" t="s">
        <v>222</v>
      </c>
      <c r="B31" s="13" t="s">
        <v>58</v>
      </c>
      <c r="C31" s="13" t="s">
        <v>218</v>
      </c>
      <c r="D31" s="13">
        <v>3.1957000000000001E-3</v>
      </c>
      <c r="E31" s="21">
        <v>45035</v>
      </c>
      <c r="F31" s="13">
        <v>2.0404166666666668</v>
      </c>
      <c r="G31" s="11"/>
      <c r="H31" s="10"/>
      <c r="I31" s="10" t="s">
        <v>26</v>
      </c>
      <c r="J31" s="10"/>
      <c r="K31" s="18">
        <v>21.782</v>
      </c>
      <c r="L31" s="11"/>
      <c r="M31" s="10"/>
      <c r="N31" s="10" t="s">
        <v>26</v>
      </c>
      <c r="O31" s="10"/>
      <c r="P31" s="18">
        <v>10.6469</v>
      </c>
      <c r="Q31" s="11"/>
      <c r="R31" s="10"/>
      <c r="S31" s="10" t="s">
        <v>26</v>
      </c>
      <c r="T31" s="10"/>
      <c r="U31" s="18">
        <v>1.6870000000000001</v>
      </c>
      <c r="V31" s="11"/>
      <c r="W31" s="18">
        <v>6.0214999999999998E-2</v>
      </c>
      <c r="X31" s="10" t="s">
        <v>26</v>
      </c>
      <c r="Y31" s="18">
        <v>0.93725000000000003</v>
      </c>
      <c r="Z31" s="18">
        <v>4.0787100000000001</v>
      </c>
      <c r="AA31" s="11"/>
      <c r="AB31" s="10"/>
      <c r="AC31" s="10" t="s">
        <v>26</v>
      </c>
      <c r="AD31" s="10"/>
      <c r="AE31" s="18">
        <v>1.88083</v>
      </c>
      <c r="AF31" s="11"/>
      <c r="AG31" s="18">
        <v>0.69462000000000002</v>
      </c>
      <c r="AH31" s="10" t="s">
        <v>26</v>
      </c>
      <c r="AI31" s="18">
        <v>0.84218000000000004</v>
      </c>
      <c r="AJ31" s="18">
        <v>1.4815100000000001</v>
      </c>
      <c r="AK31" s="11"/>
      <c r="AL31" s="10"/>
      <c r="AM31" s="10" t="s">
        <v>26</v>
      </c>
      <c r="AN31" s="10"/>
      <c r="AO31" s="18">
        <v>24.2485</v>
      </c>
      <c r="AP31" s="11"/>
      <c r="AQ31" s="18">
        <v>2.2997000000000001</v>
      </c>
      <c r="AR31" s="10" t="s">
        <v>26</v>
      </c>
      <c r="AS31" s="18">
        <v>2.1663000000000001</v>
      </c>
      <c r="AT31" s="18">
        <v>3.6744699999999999</v>
      </c>
      <c r="AU31" s="11"/>
      <c r="AV31" s="18">
        <v>1.7192000000000001</v>
      </c>
      <c r="AW31" s="10" t="s">
        <v>26</v>
      </c>
      <c r="AX31" s="18">
        <v>0.81808999999999998</v>
      </c>
      <c r="AY31" s="18">
        <v>3.5068299999999999</v>
      </c>
      <c r="AZ31" s="11"/>
      <c r="BA31" s="18">
        <v>1.7357</v>
      </c>
      <c r="BB31" s="10" t="s">
        <v>26</v>
      </c>
      <c r="BC31" s="18">
        <v>2.7067000000000001</v>
      </c>
      <c r="BD31" s="19">
        <v>8.4159400000000009</v>
      </c>
    </row>
    <row r="32" spans="1:56" ht="15" thickBot="1" x14ac:dyDescent="0.4">
      <c r="A32" s="10" t="s">
        <v>223</v>
      </c>
      <c r="B32" s="11" t="s">
        <v>58</v>
      </c>
      <c r="C32" s="11" t="s">
        <v>218</v>
      </c>
      <c r="D32" s="11">
        <v>3.1654</v>
      </c>
      <c r="E32" s="20">
        <v>45037</v>
      </c>
      <c r="F32" s="11">
        <v>2.7241898148148151</v>
      </c>
      <c r="G32" s="14"/>
      <c r="H32" s="15"/>
      <c r="I32" s="15" t="s">
        <v>26</v>
      </c>
      <c r="J32" s="15"/>
      <c r="K32" s="16">
        <v>1.9615899999999999E-2</v>
      </c>
      <c r="L32" s="14"/>
      <c r="M32" s="15"/>
      <c r="N32" s="15" t="s">
        <v>26</v>
      </c>
      <c r="O32" s="15"/>
      <c r="P32" s="16">
        <v>9.5194900000000002E-3</v>
      </c>
      <c r="Q32" s="14"/>
      <c r="R32" s="15"/>
      <c r="S32" s="15" t="s">
        <v>26</v>
      </c>
      <c r="T32" s="15"/>
      <c r="U32" s="16">
        <v>1.6313499999999999E-3</v>
      </c>
      <c r="V32" s="14"/>
      <c r="W32" s="16">
        <v>8.4584000000000005E-4</v>
      </c>
      <c r="X32" s="15" t="s">
        <v>26</v>
      </c>
      <c r="Y32" s="16">
        <v>3.0836000000000001E-3</v>
      </c>
      <c r="Z32" s="16">
        <v>3.8838800000000001E-3</v>
      </c>
      <c r="AA32" s="14"/>
      <c r="AB32" s="15"/>
      <c r="AC32" s="15" t="s">
        <v>26</v>
      </c>
      <c r="AD32" s="15"/>
      <c r="AE32" s="16">
        <v>1.7826000000000001E-3</v>
      </c>
      <c r="AF32" s="14"/>
      <c r="AG32" s="16">
        <v>9.0487000000000003E-5</v>
      </c>
      <c r="AH32" s="15" t="s">
        <v>26</v>
      </c>
      <c r="AI32" s="16">
        <v>3.1171999999999998E-4</v>
      </c>
      <c r="AJ32" s="16">
        <v>1.4017000000000001E-3</v>
      </c>
      <c r="AK32" s="14"/>
      <c r="AL32" s="15"/>
      <c r="AM32" s="15" t="s">
        <v>26</v>
      </c>
      <c r="AN32" s="15"/>
      <c r="AO32" s="16">
        <v>2.2160699999999998E-2</v>
      </c>
      <c r="AP32" s="14"/>
      <c r="AQ32" s="16">
        <v>4.7713E-3</v>
      </c>
      <c r="AR32" s="15" t="s">
        <v>26</v>
      </c>
      <c r="AS32" s="16">
        <v>2.0295000000000001E-3</v>
      </c>
      <c r="AT32" s="16">
        <v>3.4633200000000002E-3</v>
      </c>
      <c r="AU32" s="14"/>
      <c r="AV32" s="16">
        <v>2.5791E-3</v>
      </c>
      <c r="AW32" s="15" t="s">
        <v>26</v>
      </c>
      <c r="AX32" s="16">
        <v>1.7328999999999999E-3</v>
      </c>
      <c r="AY32" s="16">
        <v>3.2999499999999998E-3</v>
      </c>
      <c r="AZ32" s="14"/>
      <c r="BA32" s="16">
        <v>1.3458999999999999E-3</v>
      </c>
      <c r="BB32" s="15" t="s">
        <v>26</v>
      </c>
      <c r="BC32" s="16">
        <v>2.2816999999999998E-3</v>
      </c>
      <c r="BD32" s="17">
        <v>7.77E-3</v>
      </c>
    </row>
    <row r="69" ht="15.5" customHeight="1" x14ac:dyDescent="0.35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ReadNetPeakAreaChkBox">
          <controlPr defaultSize="0" autoLine="0" autoPict="0" r:id="rId5">
            <anchor moveWithCells="1">
              <from>
                <xdr:col>8</xdr:col>
                <xdr:colOff>1390650</xdr:colOff>
                <xdr:row>4</xdr:row>
                <xdr:rowOff>50800</xdr:rowOff>
              </from>
              <to>
                <xdr:col>10</xdr:col>
                <xdr:colOff>488950</xdr:colOff>
                <xdr:row>6</xdr:row>
                <xdr:rowOff>19050</xdr:rowOff>
              </to>
            </anchor>
          </controlPr>
        </control>
      </mc:Choice>
      <mc:Fallback>
        <control shapeId="3081" r:id="rId4" name="ReadNetPeakAreaChkBox"/>
      </mc:Fallback>
    </mc:AlternateContent>
    <mc:AlternateContent xmlns:mc="http://schemas.openxmlformats.org/markup-compatibility/2006">
      <mc:Choice Requires="x14">
        <control shapeId="3080" r:id="rId6" name="GenieDataShiftColumnCheckBox">
          <controlPr defaultSize="0" autoLine="0" autoPict="0" r:id="rId7">
            <anchor moveWithCells="1">
              <from>
                <xdr:col>8</xdr:col>
                <xdr:colOff>1384300</xdr:colOff>
                <xdr:row>2</xdr:row>
                <xdr:rowOff>127000</xdr:rowOff>
              </from>
              <to>
                <xdr:col>10</xdr:col>
                <xdr:colOff>425450</xdr:colOff>
                <xdr:row>4</xdr:row>
                <xdr:rowOff>6350</xdr:rowOff>
              </to>
            </anchor>
          </controlPr>
        </control>
      </mc:Choice>
      <mc:Fallback>
        <control shapeId="3080" r:id="rId6" name="GenieDataShiftColumnCheckBox"/>
      </mc:Fallback>
    </mc:AlternateContent>
    <mc:AlternateContent xmlns:mc="http://schemas.openxmlformats.org/markup-compatibility/2006">
      <mc:Choice Requires="x14">
        <control shapeId="3078" r:id="rId8" name="CheckBox1">
          <controlPr defaultSize="0" autoLine="0" autoPict="0" r:id="rId9">
            <anchor moveWithCells="1">
              <from>
                <xdr:col>4</xdr:col>
                <xdr:colOff>749300</xdr:colOff>
                <xdr:row>3</xdr:row>
                <xdr:rowOff>152400</xdr:rowOff>
              </from>
              <to>
                <xdr:col>6</xdr:col>
                <xdr:colOff>438150</xdr:colOff>
                <xdr:row>6</xdr:row>
                <xdr:rowOff>12700</xdr:rowOff>
              </to>
            </anchor>
          </controlPr>
        </control>
      </mc:Choice>
      <mc:Fallback>
        <control shapeId="3078" r:id="rId8" name="CheckBox1"/>
      </mc:Fallback>
    </mc:AlternateContent>
    <mc:AlternateContent xmlns:mc="http://schemas.openxmlformats.org/markup-compatibility/2006">
      <mc:Choice Requires="x14">
        <control shapeId="1025" r:id="rId10" name="Button 1">
          <controlPr defaultSize="0" print="0" autoFill="0" autoPict="0" macro="[0]!FilePathByBrowse">
            <anchor moveWithCells="1">
              <from>
                <xdr:col>7</xdr:col>
                <xdr:colOff>800100</xdr:colOff>
                <xdr:row>0</xdr:row>
                <xdr:rowOff>44450</xdr:rowOff>
              </from>
              <to>
                <xdr:col>9</xdr:col>
                <xdr:colOff>387350</xdr:colOff>
                <xdr:row>0</xdr:row>
                <xdr:rowOff>311150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1" name="Button 19">
          <controlPr defaultSize="0" print="0" autoFill="0" autoPict="0" macro="[0]!ShowNuclideList">
            <anchor moveWithCells="1" sizeWithCells="1">
              <from>
                <xdr:col>7</xdr:col>
                <xdr:colOff>69850</xdr:colOff>
                <xdr:row>2</xdr:row>
                <xdr:rowOff>63500</xdr:rowOff>
              </from>
              <to>
                <xdr:col>8</xdr:col>
                <xdr:colOff>762000</xdr:colOff>
                <xdr:row>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44" r:id="rId12" name="Button 1020">
          <controlPr defaultSize="0" print="0" autoFill="0" autoPict="0" macro="[0]!ImportRPTDataToExcel">
            <anchor moveWithCells="1" sizeWithCells="1">
              <from>
                <xdr:col>0</xdr:col>
                <xdr:colOff>254000</xdr:colOff>
                <xdr:row>2</xdr:row>
                <xdr:rowOff>82550</xdr:rowOff>
              </from>
              <to>
                <xdr:col>4</xdr:col>
                <xdr:colOff>482600</xdr:colOff>
                <xdr:row>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92F6-CBCF-43F6-8C7A-FF26A83B0814}">
  <sheetPr codeName="Sheet11"/>
  <dimension ref="A1:BV246"/>
  <sheetViews>
    <sheetView workbookViewId="0">
      <selection activeCell="A2" sqref="A2"/>
    </sheetView>
  </sheetViews>
  <sheetFormatPr defaultRowHeight="14.5" x14ac:dyDescent="0.35"/>
  <sheetData>
    <row r="1" spans="1:74" ht="15" thickBot="1" x14ac:dyDescent="0.4">
      <c r="A1" t="s">
        <v>215</v>
      </c>
    </row>
    <row r="2" spans="1:74" ht="15" thickBot="1" x14ac:dyDescent="0.4">
      <c r="G2" s="30"/>
      <c r="H2" s="9" t="s">
        <v>18</v>
      </c>
      <c r="I2" s="9" t="s">
        <v>24</v>
      </c>
      <c r="J2" s="13"/>
      <c r="K2" s="12"/>
      <c r="L2" s="9"/>
      <c r="M2" s="13" t="s">
        <v>1</v>
      </c>
      <c r="N2" s="12" t="s">
        <v>23</v>
      </c>
      <c r="O2" s="9"/>
      <c r="P2" s="13"/>
      <c r="Q2" s="12"/>
      <c r="R2" s="9" t="s">
        <v>6</v>
      </c>
      <c r="S2" s="13" t="s">
        <v>32</v>
      </c>
      <c r="T2" s="12"/>
      <c r="U2" s="9"/>
      <c r="V2" s="30"/>
      <c r="W2" s="12" t="s">
        <v>2</v>
      </c>
      <c r="X2" s="9" t="s">
        <v>41</v>
      </c>
      <c r="Y2" s="13"/>
      <c r="Z2" s="12"/>
      <c r="AA2" s="9"/>
      <c r="AB2" s="13" t="s">
        <v>7</v>
      </c>
      <c r="AC2" s="12" t="s">
        <v>50</v>
      </c>
      <c r="AD2" s="9"/>
      <c r="AE2" s="13"/>
      <c r="AF2" s="12"/>
      <c r="AG2" s="9" t="s">
        <v>16</v>
      </c>
      <c r="AH2" s="13" t="s">
        <v>51</v>
      </c>
      <c r="AI2" s="12"/>
      <c r="AJ2" s="9"/>
      <c r="AK2" s="30"/>
      <c r="AL2" s="12" t="s">
        <v>17</v>
      </c>
      <c r="AM2" s="9" t="s">
        <v>52</v>
      </c>
      <c r="AN2" s="9"/>
      <c r="AO2" s="12"/>
      <c r="AP2" s="9"/>
      <c r="AQ2" s="13" t="s">
        <v>19</v>
      </c>
      <c r="AR2" s="9" t="s">
        <v>53</v>
      </c>
      <c r="AS2" s="9"/>
      <c r="AT2" s="9"/>
      <c r="AU2" s="9"/>
      <c r="AV2" s="13" t="s">
        <v>21</v>
      </c>
      <c r="AW2" s="9" t="s">
        <v>54</v>
      </c>
      <c r="AX2" s="9"/>
      <c r="AY2" s="9"/>
      <c r="AZ2" s="9"/>
      <c r="BA2" s="13" t="s">
        <v>56</v>
      </c>
      <c r="BB2" s="9" t="s">
        <v>57</v>
      </c>
      <c r="BC2" s="9"/>
      <c r="BD2" s="9"/>
      <c r="BE2" s="9"/>
      <c r="BF2" s="13" t="s">
        <v>60</v>
      </c>
      <c r="BG2" s="9" t="s">
        <v>61</v>
      </c>
      <c r="BH2" s="9"/>
      <c r="BI2" s="9"/>
      <c r="BJ2" s="9"/>
      <c r="BK2" s="13" t="s">
        <v>62</v>
      </c>
      <c r="BL2" s="9" t="s">
        <v>63</v>
      </c>
      <c r="BM2" s="9"/>
      <c r="BN2" s="9"/>
      <c r="BO2" s="12"/>
    </row>
    <row r="3" spans="1:74" ht="15" thickBot="1" x14ac:dyDescent="0.4">
      <c r="A3" s="13" t="s">
        <v>30</v>
      </c>
      <c r="B3" s="13"/>
      <c r="C3" s="13" t="s">
        <v>29</v>
      </c>
      <c r="D3" s="13" t="s">
        <v>31</v>
      </c>
      <c r="E3" s="13" t="s">
        <v>43</v>
      </c>
      <c r="F3" s="13" t="s">
        <v>25</v>
      </c>
      <c r="G3" s="31" t="s">
        <v>28</v>
      </c>
      <c r="H3" s="10" t="s">
        <v>44</v>
      </c>
      <c r="I3" s="10" t="s">
        <v>45</v>
      </c>
      <c r="J3" s="11"/>
      <c r="K3" s="24" t="s">
        <v>46</v>
      </c>
      <c r="L3" s="10" t="s">
        <v>47</v>
      </c>
      <c r="M3" s="11" t="s">
        <v>44</v>
      </c>
      <c r="N3" s="24" t="s">
        <v>45</v>
      </c>
      <c r="O3" s="10"/>
      <c r="P3" s="11" t="s">
        <v>46</v>
      </c>
      <c r="Q3" s="24" t="s">
        <v>47</v>
      </c>
      <c r="R3" s="10" t="s">
        <v>44</v>
      </c>
      <c r="S3" s="11" t="s">
        <v>45</v>
      </c>
      <c r="T3" s="24"/>
      <c r="U3" s="10" t="s">
        <v>46</v>
      </c>
      <c r="V3" s="31" t="s">
        <v>47</v>
      </c>
      <c r="W3" s="24" t="s">
        <v>44</v>
      </c>
      <c r="X3" s="10" t="s">
        <v>45</v>
      </c>
      <c r="Y3" s="11"/>
      <c r="Z3" s="24" t="s">
        <v>46</v>
      </c>
      <c r="AA3" s="10" t="s">
        <v>47</v>
      </c>
      <c r="AB3" s="11" t="s">
        <v>44</v>
      </c>
      <c r="AC3" s="24" t="s">
        <v>45</v>
      </c>
      <c r="AD3" s="9"/>
      <c r="AE3" s="13" t="s">
        <v>46</v>
      </c>
      <c r="AF3" s="12" t="s">
        <v>47</v>
      </c>
      <c r="AG3" s="9" t="s">
        <v>44</v>
      </c>
      <c r="AH3" s="13" t="s">
        <v>45</v>
      </c>
      <c r="AI3" s="12"/>
      <c r="AJ3" s="9" t="s">
        <v>46</v>
      </c>
      <c r="AK3" s="30" t="s">
        <v>47</v>
      </c>
      <c r="AL3" s="12" t="s">
        <v>44</v>
      </c>
      <c r="AM3" s="9" t="s">
        <v>45</v>
      </c>
      <c r="AN3" s="13"/>
      <c r="AO3" s="12" t="s">
        <v>46</v>
      </c>
      <c r="AP3" s="10" t="s">
        <v>47</v>
      </c>
      <c r="AQ3" s="11" t="s">
        <v>44</v>
      </c>
      <c r="AR3" s="24" t="s">
        <v>45</v>
      </c>
      <c r="AS3" s="9"/>
      <c r="AT3" s="9" t="s">
        <v>46</v>
      </c>
      <c r="AU3" s="9" t="s">
        <v>47</v>
      </c>
      <c r="AV3" s="13" t="s">
        <v>44</v>
      </c>
      <c r="AW3" s="9" t="s">
        <v>45</v>
      </c>
      <c r="AX3" s="9"/>
      <c r="AY3" s="9" t="s">
        <v>46</v>
      </c>
      <c r="AZ3" s="9" t="s">
        <v>47</v>
      </c>
      <c r="BA3" s="13" t="s">
        <v>44</v>
      </c>
      <c r="BB3" s="9" t="s">
        <v>45</v>
      </c>
      <c r="BC3" s="9"/>
      <c r="BD3" s="9" t="s">
        <v>46</v>
      </c>
      <c r="BE3" s="9" t="s">
        <v>47</v>
      </c>
      <c r="BF3" s="13" t="s">
        <v>44</v>
      </c>
      <c r="BG3" s="9" t="s">
        <v>45</v>
      </c>
      <c r="BH3" s="9"/>
      <c r="BI3" s="9" t="s">
        <v>46</v>
      </c>
      <c r="BJ3" s="9" t="s">
        <v>47</v>
      </c>
      <c r="BK3" s="13" t="s">
        <v>44</v>
      </c>
      <c r="BL3" s="9" t="s">
        <v>45</v>
      </c>
      <c r="BM3" s="9"/>
      <c r="BN3" s="9" t="s">
        <v>46</v>
      </c>
      <c r="BO3" s="12" t="s">
        <v>47</v>
      </c>
    </row>
    <row r="4" spans="1:74" ht="15" thickBot="1" x14ac:dyDescent="0.4">
      <c r="A4" s="13" t="s">
        <v>116</v>
      </c>
      <c r="B4" s="13"/>
      <c r="C4" s="13">
        <v>9118213</v>
      </c>
      <c r="D4" s="13"/>
      <c r="E4" s="25">
        <v>5.6631000000000001E-2</v>
      </c>
      <c r="F4" s="21">
        <v>44876</v>
      </c>
      <c r="G4" s="42">
        <v>2.6114236111111109</v>
      </c>
      <c r="H4" s="16">
        <v>45.811999999999998</v>
      </c>
      <c r="I4" s="15"/>
      <c r="J4" s="14" t="s">
        <v>26</v>
      </c>
      <c r="K4" s="17">
        <v>9.9467999999999996</v>
      </c>
      <c r="L4" s="15">
        <v>1.4450000000000001</v>
      </c>
      <c r="M4" s="28">
        <v>49.936999999999998</v>
      </c>
      <c r="N4" s="27"/>
      <c r="O4" s="15" t="s">
        <v>26</v>
      </c>
      <c r="P4" s="28">
        <v>2.3105000000000002</v>
      </c>
      <c r="Q4" s="27">
        <v>1.4610000000000001</v>
      </c>
      <c r="R4" s="15"/>
      <c r="S4" s="14"/>
      <c r="T4" s="27"/>
      <c r="U4" s="15" t="s">
        <v>49</v>
      </c>
      <c r="V4" s="44">
        <v>0.10624</v>
      </c>
      <c r="W4" s="27"/>
      <c r="X4" s="15"/>
      <c r="Y4" s="14"/>
      <c r="Z4" s="27" t="s">
        <v>49</v>
      </c>
      <c r="AA4" s="16">
        <v>8.0780000000000005E-2</v>
      </c>
      <c r="AB4" s="14"/>
      <c r="AC4" s="27"/>
      <c r="AD4" s="10" t="s">
        <v>26</v>
      </c>
      <c r="AE4" s="11"/>
      <c r="AF4" s="24"/>
      <c r="AG4" s="18">
        <v>2.4849000000000001</v>
      </c>
      <c r="AH4" s="11"/>
      <c r="AI4" s="24" t="s">
        <v>26</v>
      </c>
      <c r="AJ4" s="18">
        <v>0.19825999999999999</v>
      </c>
      <c r="AK4" s="31">
        <v>0.17699999999999999</v>
      </c>
      <c r="AL4" s="19">
        <v>5.6677</v>
      </c>
      <c r="AM4" s="10"/>
      <c r="AN4" s="11" t="s">
        <v>26</v>
      </c>
      <c r="AO4" s="19">
        <v>1.7234</v>
      </c>
      <c r="AP4" s="15">
        <v>1.5780000000000001</v>
      </c>
      <c r="AQ4" s="28">
        <v>11.067</v>
      </c>
      <c r="AR4" s="27"/>
      <c r="AS4" s="10" t="s">
        <v>26</v>
      </c>
      <c r="AT4" s="18">
        <v>0.61189000000000004</v>
      </c>
      <c r="AU4" s="10">
        <v>0.37140000000000001</v>
      </c>
      <c r="AV4" s="26">
        <v>9.2043999999999997</v>
      </c>
      <c r="AW4" s="10"/>
      <c r="AX4" s="10" t="s">
        <v>26</v>
      </c>
      <c r="AY4" s="18">
        <v>0.50153999999999999</v>
      </c>
      <c r="AZ4" s="10">
        <v>0.31590000000000001</v>
      </c>
      <c r="BA4" s="26">
        <v>7.2698</v>
      </c>
      <c r="BB4" s="10"/>
      <c r="BC4" s="10" t="s">
        <v>26</v>
      </c>
      <c r="BD4" s="18">
        <v>2.8597000000000001</v>
      </c>
      <c r="BE4" s="10">
        <v>2.3420000000000001</v>
      </c>
      <c r="BF4" s="26">
        <v>1.1113</v>
      </c>
      <c r="BG4" s="10"/>
      <c r="BH4" s="10" t="s">
        <v>26</v>
      </c>
      <c r="BI4" s="18">
        <v>0.13844999999999999</v>
      </c>
      <c r="BJ4" s="10">
        <v>0.13769999999999999</v>
      </c>
      <c r="BK4" s="26">
        <v>14.225</v>
      </c>
      <c r="BL4" s="10"/>
      <c r="BM4" s="10" t="s">
        <v>26</v>
      </c>
      <c r="BN4" s="18">
        <v>1.3580000000000001</v>
      </c>
      <c r="BO4" s="24">
        <v>1.383</v>
      </c>
    </row>
    <row r="5" spans="1:74" ht="15" thickBot="1" x14ac:dyDescent="0.4">
      <c r="A5" s="10" t="s">
        <v>117</v>
      </c>
      <c r="B5" s="10"/>
      <c r="C5" s="11">
        <v>9118213</v>
      </c>
      <c r="D5" s="11"/>
      <c r="E5" s="26">
        <v>6.1191000000000002E-2</v>
      </c>
      <c r="F5" s="20">
        <v>44879</v>
      </c>
      <c r="G5" s="47">
        <v>0.96670138888888879</v>
      </c>
      <c r="H5" s="36">
        <v>54.218000000000004</v>
      </c>
      <c r="I5" s="37"/>
      <c r="J5" s="35" t="s">
        <v>26</v>
      </c>
      <c r="K5" s="48">
        <v>11.986000000000001</v>
      </c>
      <c r="L5" s="37">
        <v>2.1160000000000001</v>
      </c>
      <c r="M5" s="38">
        <v>32.173999999999999</v>
      </c>
      <c r="N5" s="43"/>
      <c r="O5" s="37" t="s">
        <v>26</v>
      </c>
      <c r="P5" s="38">
        <v>2.3761000000000001</v>
      </c>
      <c r="Q5" s="43">
        <v>2.0920000000000001</v>
      </c>
      <c r="R5" s="37"/>
      <c r="S5" s="35"/>
      <c r="T5" s="43"/>
      <c r="U5" s="37" t="s">
        <v>49</v>
      </c>
      <c r="V5" s="49">
        <v>0.16020999999999999</v>
      </c>
      <c r="W5" s="43"/>
      <c r="X5" s="37"/>
      <c r="Y5" s="35"/>
      <c r="Z5" s="43" t="s">
        <v>49</v>
      </c>
      <c r="AA5" s="36">
        <v>0.12088</v>
      </c>
      <c r="AB5" s="35"/>
      <c r="AC5" s="43"/>
      <c r="AD5" s="37" t="s">
        <v>26</v>
      </c>
      <c r="AE5" s="35"/>
      <c r="AF5" s="43"/>
      <c r="AG5" s="36">
        <v>3.3079999999999998</v>
      </c>
      <c r="AH5" s="35"/>
      <c r="AI5" s="43" t="s">
        <v>26</v>
      </c>
      <c r="AJ5" s="36">
        <v>0.31577</v>
      </c>
      <c r="AK5" s="47">
        <v>0.2893</v>
      </c>
      <c r="AL5" s="48">
        <v>9.3323999999999998</v>
      </c>
      <c r="AM5" s="37"/>
      <c r="AN5" s="37" t="s">
        <v>26</v>
      </c>
      <c r="AO5" s="48">
        <v>2.4937999999999998</v>
      </c>
      <c r="AP5" s="37">
        <v>2.2450000000000001</v>
      </c>
      <c r="AQ5" s="38">
        <v>10.804</v>
      </c>
      <c r="AR5" s="37"/>
      <c r="AS5" s="37" t="s">
        <v>26</v>
      </c>
      <c r="AT5" s="36">
        <v>0.75727</v>
      </c>
      <c r="AU5" s="37">
        <v>0.48880000000000001</v>
      </c>
      <c r="AV5" s="38">
        <v>7.5218999999999996</v>
      </c>
      <c r="AW5" s="37"/>
      <c r="AX5" s="37" t="s">
        <v>26</v>
      </c>
      <c r="AY5" s="36">
        <v>0.72950000000000004</v>
      </c>
      <c r="AZ5" s="37">
        <v>0.52029999999999998</v>
      </c>
      <c r="BA5" s="35"/>
      <c r="BB5" s="37"/>
      <c r="BC5" s="37"/>
      <c r="BD5" s="37" t="s">
        <v>49</v>
      </c>
      <c r="BE5" s="36">
        <v>3.8628999999999998</v>
      </c>
      <c r="BF5" s="38">
        <v>1.7363999999999999</v>
      </c>
      <c r="BG5" s="37"/>
      <c r="BH5" s="37" t="s">
        <v>26</v>
      </c>
      <c r="BI5" s="36">
        <v>0.26168999999999998</v>
      </c>
      <c r="BJ5" s="37">
        <v>0.2137</v>
      </c>
      <c r="BK5" s="38">
        <v>14.617000000000001</v>
      </c>
      <c r="BL5" s="37"/>
      <c r="BM5" s="37" t="s">
        <v>26</v>
      </c>
      <c r="BN5" s="36">
        <v>2.2082000000000002</v>
      </c>
      <c r="BO5" s="43">
        <v>2.032</v>
      </c>
    </row>
    <row r="6" spans="1:74" ht="15" thickBot="1" x14ac:dyDescent="0.4">
      <c r="G6" s="13"/>
      <c r="H6" s="9"/>
      <c r="I6" s="9"/>
      <c r="J6" s="13"/>
      <c r="K6" s="12"/>
      <c r="L6" s="9"/>
      <c r="M6" s="13"/>
      <c r="N6" s="12"/>
      <c r="O6" s="9"/>
      <c r="P6" s="13"/>
      <c r="Q6" s="12"/>
      <c r="R6" s="9"/>
      <c r="S6" s="13"/>
      <c r="T6" s="12"/>
      <c r="U6" s="9"/>
      <c r="V6" s="13"/>
      <c r="W6" s="12"/>
      <c r="X6" s="9"/>
      <c r="Y6" s="13"/>
      <c r="Z6" s="12"/>
      <c r="AA6" s="9"/>
      <c r="AB6" s="13"/>
      <c r="AC6" s="12"/>
      <c r="AD6" s="9"/>
      <c r="AE6" s="13"/>
      <c r="AF6" s="12"/>
      <c r="AG6" s="9"/>
      <c r="AH6" s="13"/>
      <c r="AI6" s="12"/>
      <c r="AJ6" s="9"/>
      <c r="AK6" s="13"/>
      <c r="AL6" s="12"/>
      <c r="AM6" s="9"/>
      <c r="AN6" s="13"/>
      <c r="AO6" s="12"/>
      <c r="AP6" s="10"/>
      <c r="AQ6" s="11"/>
      <c r="AR6" s="24"/>
      <c r="AS6" s="10"/>
      <c r="AT6" s="11"/>
      <c r="AU6" s="24"/>
      <c r="AV6" s="10"/>
      <c r="AW6" s="11"/>
      <c r="AX6" s="24"/>
      <c r="AY6" s="10"/>
      <c r="AZ6" s="11"/>
      <c r="BA6" s="24"/>
      <c r="BB6" s="10"/>
      <c r="BC6" s="11"/>
      <c r="BD6" s="24"/>
      <c r="BE6" s="10"/>
      <c r="BF6" s="11"/>
      <c r="BG6" s="24"/>
      <c r="BH6" s="10"/>
      <c r="BI6" s="11"/>
      <c r="BJ6" s="24"/>
      <c r="BK6" s="10"/>
      <c r="BL6" s="11"/>
      <c r="BM6" s="24"/>
      <c r="BN6" s="10"/>
      <c r="BO6" s="11"/>
      <c r="BP6" s="24"/>
      <c r="BQ6" s="10"/>
      <c r="BR6" s="11"/>
      <c r="BS6" s="24"/>
      <c r="BT6" s="10"/>
      <c r="BU6" s="10"/>
      <c r="BV6" s="24"/>
    </row>
    <row r="7" spans="1:74" ht="15" thickBot="1" x14ac:dyDescent="0.4">
      <c r="G7" s="30"/>
      <c r="H7" s="9" t="s">
        <v>18</v>
      </c>
      <c r="I7" s="9" t="s">
        <v>24</v>
      </c>
      <c r="J7" s="13"/>
      <c r="K7" s="12"/>
      <c r="L7" s="9"/>
      <c r="M7" s="13" t="s">
        <v>1</v>
      </c>
      <c r="N7" s="12" t="s">
        <v>23</v>
      </c>
      <c r="O7" s="9"/>
      <c r="P7" s="13"/>
      <c r="Q7" s="12"/>
      <c r="R7" s="9" t="s">
        <v>6</v>
      </c>
      <c r="S7" s="13" t="s">
        <v>32</v>
      </c>
      <c r="T7" s="12"/>
      <c r="U7" s="9"/>
      <c r="V7" s="30"/>
      <c r="W7" s="12" t="s">
        <v>2</v>
      </c>
      <c r="X7" s="9" t="s">
        <v>41</v>
      </c>
      <c r="Y7" s="13"/>
      <c r="Z7" s="12"/>
      <c r="AA7" s="9"/>
      <c r="AB7" s="13" t="s">
        <v>7</v>
      </c>
      <c r="AC7" s="12" t="s">
        <v>50</v>
      </c>
      <c r="AD7" s="9"/>
      <c r="AE7" s="13"/>
      <c r="AF7" s="12"/>
      <c r="AG7" s="9" t="s">
        <v>16</v>
      </c>
      <c r="AH7" s="13" t="s">
        <v>51</v>
      </c>
      <c r="AI7" s="12"/>
      <c r="AJ7" s="9"/>
      <c r="AK7" s="30"/>
      <c r="AL7" s="12" t="s">
        <v>17</v>
      </c>
      <c r="AM7" s="9" t="s">
        <v>52</v>
      </c>
      <c r="AN7" s="13"/>
      <c r="AO7" s="12"/>
      <c r="AP7" s="15"/>
      <c r="AQ7" s="14" t="s">
        <v>19</v>
      </c>
      <c r="AR7" s="27" t="s">
        <v>53</v>
      </c>
      <c r="AS7" s="15"/>
      <c r="AT7" s="14"/>
      <c r="AU7" s="27"/>
      <c r="AV7" s="15" t="s">
        <v>21</v>
      </c>
      <c r="AW7" s="14" t="s">
        <v>54</v>
      </c>
      <c r="AX7" s="27"/>
      <c r="AY7" s="15"/>
      <c r="AZ7" s="14"/>
      <c r="BA7" s="42" t="s">
        <v>56</v>
      </c>
      <c r="BB7" s="15" t="s">
        <v>57</v>
      </c>
      <c r="BC7" s="14"/>
      <c r="BD7" s="27"/>
      <c r="BE7" s="15"/>
      <c r="BF7" s="14" t="s">
        <v>60</v>
      </c>
      <c r="BG7" s="27" t="s">
        <v>61</v>
      </c>
      <c r="BH7" s="15"/>
      <c r="BI7" s="14"/>
      <c r="BJ7" s="27"/>
      <c r="BK7" s="15" t="s">
        <v>62</v>
      </c>
      <c r="BL7" s="14" t="s">
        <v>63</v>
      </c>
      <c r="BM7" s="27"/>
      <c r="BN7" s="15"/>
      <c r="BO7" s="42"/>
      <c r="BP7" s="27"/>
      <c r="BQ7" s="15"/>
      <c r="BR7" s="14"/>
      <c r="BS7" s="27"/>
      <c r="BT7" s="15"/>
      <c r="BU7" s="15"/>
      <c r="BV7" s="27"/>
    </row>
    <row r="8" spans="1:74" ht="15" thickBot="1" x14ac:dyDescent="0.4">
      <c r="A8" s="13" t="s">
        <v>30</v>
      </c>
      <c r="B8" s="13"/>
      <c r="C8" s="13" t="s">
        <v>29</v>
      </c>
      <c r="D8" s="13" t="s">
        <v>31</v>
      </c>
      <c r="E8" s="13" t="s">
        <v>43</v>
      </c>
      <c r="F8" s="13" t="s">
        <v>25</v>
      </c>
      <c r="G8" s="30" t="s">
        <v>28</v>
      </c>
      <c r="H8" s="9" t="s">
        <v>44</v>
      </c>
      <c r="I8" s="9" t="s">
        <v>45</v>
      </c>
      <c r="J8" s="13"/>
      <c r="K8" s="12" t="s">
        <v>46</v>
      </c>
      <c r="L8" s="9" t="s">
        <v>47</v>
      </c>
      <c r="M8" s="13" t="s">
        <v>44</v>
      </c>
      <c r="N8" s="12" t="s">
        <v>45</v>
      </c>
      <c r="O8" s="9"/>
      <c r="P8" s="13" t="s">
        <v>46</v>
      </c>
      <c r="Q8" s="12" t="s">
        <v>47</v>
      </c>
      <c r="R8" s="9" t="s">
        <v>44</v>
      </c>
      <c r="S8" s="13" t="s">
        <v>45</v>
      </c>
      <c r="T8" s="12"/>
      <c r="U8" s="9" t="s">
        <v>46</v>
      </c>
      <c r="V8" s="30" t="s">
        <v>47</v>
      </c>
      <c r="W8" s="12" t="s">
        <v>44</v>
      </c>
      <c r="X8" s="9" t="s">
        <v>45</v>
      </c>
      <c r="Y8" s="13"/>
      <c r="Z8" s="12" t="s">
        <v>46</v>
      </c>
      <c r="AA8" s="9" t="s">
        <v>47</v>
      </c>
      <c r="AB8" s="13" t="s">
        <v>44</v>
      </c>
      <c r="AC8" s="12" t="s">
        <v>45</v>
      </c>
      <c r="AD8" s="10"/>
      <c r="AE8" s="11" t="s">
        <v>46</v>
      </c>
      <c r="AF8" s="24" t="s">
        <v>47</v>
      </c>
      <c r="AG8" s="10" t="s">
        <v>44</v>
      </c>
      <c r="AH8" s="11" t="s">
        <v>45</v>
      </c>
      <c r="AI8" s="24"/>
      <c r="AJ8" s="10" t="s">
        <v>46</v>
      </c>
      <c r="AK8" s="31" t="s">
        <v>47</v>
      </c>
      <c r="AL8" s="24" t="s">
        <v>44</v>
      </c>
      <c r="AM8" s="10" t="s">
        <v>45</v>
      </c>
      <c r="AN8" s="10"/>
      <c r="AO8" s="24" t="s">
        <v>46</v>
      </c>
      <c r="AP8" s="37" t="s">
        <v>47</v>
      </c>
      <c r="AQ8" s="35" t="s">
        <v>44</v>
      </c>
      <c r="AR8" s="37" t="s">
        <v>45</v>
      </c>
      <c r="AS8" s="37"/>
      <c r="AT8" s="37" t="s">
        <v>46</v>
      </c>
      <c r="AU8" s="37" t="s">
        <v>47</v>
      </c>
      <c r="AV8" s="35" t="s">
        <v>44</v>
      </c>
      <c r="AW8" s="37" t="s">
        <v>45</v>
      </c>
      <c r="AX8" s="37"/>
      <c r="AY8" s="37" t="s">
        <v>46</v>
      </c>
      <c r="AZ8" s="37" t="s">
        <v>47</v>
      </c>
      <c r="BA8" s="35" t="s">
        <v>44</v>
      </c>
      <c r="BB8" s="37" t="s">
        <v>45</v>
      </c>
      <c r="BC8" s="37"/>
      <c r="BD8" s="37" t="s">
        <v>46</v>
      </c>
      <c r="BE8" s="37" t="s">
        <v>47</v>
      </c>
      <c r="BF8" s="35" t="s">
        <v>44</v>
      </c>
      <c r="BG8" s="37" t="s">
        <v>45</v>
      </c>
      <c r="BH8" s="37"/>
      <c r="BI8" s="37" t="s">
        <v>46</v>
      </c>
      <c r="BJ8" s="37" t="s">
        <v>47</v>
      </c>
      <c r="BK8" s="35" t="s">
        <v>44</v>
      </c>
      <c r="BL8" s="37" t="s">
        <v>45</v>
      </c>
      <c r="BM8" s="37"/>
      <c r="BN8" s="37" t="s">
        <v>46</v>
      </c>
      <c r="BO8" s="43" t="s">
        <v>47</v>
      </c>
    </row>
    <row r="9" spans="1:74" ht="15" thickBot="1" x14ac:dyDescent="0.4">
      <c r="A9" s="13" t="s">
        <v>87</v>
      </c>
      <c r="B9" s="13"/>
      <c r="C9" s="13">
        <v>9118213</v>
      </c>
      <c r="D9" s="13"/>
      <c r="E9" s="25">
        <v>6.4813999999999997E-2</v>
      </c>
      <c r="F9" s="21">
        <v>44831</v>
      </c>
      <c r="G9" s="30">
        <v>1.7662615740740739</v>
      </c>
      <c r="H9" s="22">
        <v>98.878</v>
      </c>
      <c r="I9" s="9"/>
      <c r="J9" s="13" t="s">
        <v>26</v>
      </c>
      <c r="K9" s="23">
        <v>21.129000000000001</v>
      </c>
      <c r="L9" s="9">
        <v>1.45</v>
      </c>
      <c r="M9" s="25">
        <v>26.52</v>
      </c>
      <c r="N9" s="12"/>
      <c r="O9" s="9" t="s">
        <v>26</v>
      </c>
      <c r="P9" s="25">
        <v>2.3340000000000001</v>
      </c>
      <c r="Q9" s="12">
        <v>1.82</v>
      </c>
      <c r="R9" s="9"/>
      <c r="S9" s="13"/>
      <c r="T9" s="12"/>
      <c r="U9" s="9" t="s">
        <v>49</v>
      </c>
      <c r="V9" s="46">
        <v>0.14646999999999999</v>
      </c>
      <c r="W9" s="12"/>
      <c r="X9" s="9"/>
      <c r="Y9" s="13"/>
      <c r="Z9" s="12" t="s">
        <v>49</v>
      </c>
      <c r="AA9" s="22">
        <v>8.7958999999999996E-2</v>
      </c>
      <c r="AB9" s="13"/>
      <c r="AC9" s="12"/>
      <c r="AD9" s="15" t="s">
        <v>26</v>
      </c>
      <c r="AE9" s="14"/>
      <c r="AF9" s="27"/>
      <c r="AG9" s="16">
        <v>4.3299000000000003</v>
      </c>
      <c r="AH9" s="14"/>
      <c r="AI9" s="27" t="s">
        <v>26</v>
      </c>
      <c r="AJ9" s="16">
        <v>0.27589000000000002</v>
      </c>
      <c r="AK9" s="42">
        <v>0.20710000000000001</v>
      </c>
      <c r="AL9" s="17">
        <v>7.1192000000000002</v>
      </c>
      <c r="AM9" s="15"/>
      <c r="AN9" s="15" t="s">
        <v>26</v>
      </c>
      <c r="AO9" s="17">
        <v>2.0787</v>
      </c>
      <c r="AP9" s="9">
        <v>1.831</v>
      </c>
      <c r="AQ9" s="25">
        <v>13.965999999999999</v>
      </c>
      <c r="AR9" s="9"/>
      <c r="AS9" s="9" t="s">
        <v>26</v>
      </c>
      <c r="AT9" s="22">
        <v>0.71718999999999999</v>
      </c>
      <c r="AU9" s="9">
        <v>0.40060000000000001</v>
      </c>
      <c r="AV9" s="25">
        <v>12.897</v>
      </c>
      <c r="AW9" s="9"/>
      <c r="AX9" s="9" t="s">
        <v>26</v>
      </c>
      <c r="AY9" s="22">
        <v>0.61628000000000005</v>
      </c>
      <c r="AZ9" s="9">
        <v>0.3468</v>
      </c>
      <c r="BA9" s="25">
        <v>7.8278999999999996</v>
      </c>
      <c r="BB9" s="9"/>
      <c r="BC9" s="9" t="s">
        <v>26</v>
      </c>
      <c r="BD9" s="22">
        <v>3.3559999999999999</v>
      </c>
      <c r="BE9" s="9">
        <v>2.798</v>
      </c>
      <c r="BF9" s="25">
        <v>2.2761999999999998</v>
      </c>
      <c r="BG9" s="9"/>
      <c r="BH9" s="9" t="s">
        <v>26</v>
      </c>
      <c r="BI9" s="22">
        <v>0.22411</v>
      </c>
      <c r="BJ9" s="9">
        <v>0.1663</v>
      </c>
      <c r="BK9" s="25">
        <v>17.771999999999998</v>
      </c>
      <c r="BL9" s="9"/>
      <c r="BM9" s="9" t="s">
        <v>26</v>
      </c>
      <c r="BN9" s="22">
        <v>1.9233</v>
      </c>
      <c r="BO9" s="12">
        <v>1.669</v>
      </c>
    </row>
    <row r="10" spans="1:74" ht="15" thickBot="1" x14ac:dyDescent="0.4">
      <c r="A10" s="13" t="s">
        <v>89</v>
      </c>
      <c r="B10" s="13"/>
      <c r="C10" s="13">
        <v>9118213</v>
      </c>
      <c r="D10" s="13"/>
      <c r="E10" s="25">
        <v>6.3771999999999995E-2</v>
      </c>
      <c r="F10" s="21">
        <v>44833</v>
      </c>
      <c r="G10" s="31">
        <v>1.1980324074074076</v>
      </c>
      <c r="H10" s="18">
        <v>94.554000000000002</v>
      </c>
      <c r="I10" s="10"/>
      <c r="J10" s="11" t="s">
        <v>26</v>
      </c>
      <c r="K10" s="19">
        <v>20.331</v>
      </c>
      <c r="L10" s="10">
        <v>1.929</v>
      </c>
      <c r="M10" s="26">
        <v>28.634</v>
      </c>
      <c r="N10" s="24"/>
      <c r="O10" s="10" t="s">
        <v>26</v>
      </c>
      <c r="P10" s="26">
        <v>2.6391</v>
      </c>
      <c r="Q10" s="24">
        <v>2.0950000000000002</v>
      </c>
      <c r="R10" s="10"/>
      <c r="S10" s="11"/>
      <c r="T10" s="24"/>
      <c r="U10" s="10" t="s">
        <v>49</v>
      </c>
      <c r="V10" s="45">
        <v>0.20183999999999999</v>
      </c>
      <c r="W10" s="24"/>
      <c r="X10" s="10"/>
      <c r="Y10" s="11"/>
      <c r="Z10" s="24" t="s">
        <v>49</v>
      </c>
      <c r="AA10" s="18">
        <v>0.10718999999999999</v>
      </c>
      <c r="AB10" s="11"/>
      <c r="AC10" s="24"/>
      <c r="AD10" s="37" t="s">
        <v>26</v>
      </c>
      <c r="AE10" s="35"/>
      <c r="AF10" s="43"/>
      <c r="AG10" s="36">
        <v>4.5876999999999999</v>
      </c>
      <c r="AH10" s="35"/>
      <c r="AI10" s="43" t="s">
        <v>26</v>
      </c>
      <c r="AJ10" s="36">
        <v>0.31909999999999999</v>
      </c>
      <c r="AK10" s="47">
        <v>0.24890000000000001</v>
      </c>
      <c r="AL10" s="48">
        <v>9.8952000000000009</v>
      </c>
      <c r="AM10" s="37"/>
      <c r="AN10" s="37" t="s">
        <v>26</v>
      </c>
      <c r="AO10" s="48">
        <v>2.3904000000000001</v>
      </c>
      <c r="AP10" s="9">
        <v>2.073</v>
      </c>
      <c r="AQ10" s="25">
        <v>13.7</v>
      </c>
      <c r="AR10" s="9"/>
      <c r="AS10" s="9" t="s">
        <v>26</v>
      </c>
      <c r="AT10" s="22">
        <v>0.82532000000000005</v>
      </c>
      <c r="AU10" s="9">
        <v>0.495</v>
      </c>
      <c r="AV10" s="25">
        <v>13.009</v>
      </c>
      <c r="AW10" s="9"/>
      <c r="AX10" s="9" t="s">
        <v>26</v>
      </c>
      <c r="AY10" s="22">
        <v>0.70525000000000004</v>
      </c>
      <c r="AZ10" s="9">
        <v>0.4244</v>
      </c>
      <c r="BA10" s="25">
        <v>14.510999999999999</v>
      </c>
      <c r="BB10" s="9"/>
      <c r="BC10" s="9" t="s">
        <v>26</v>
      </c>
      <c r="BD10" s="22">
        <v>3.9683999999999999</v>
      </c>
      <c r="BE10" s="9">
        <v>3.09</v>
      </c>
      <c r="BF10" s="25">
        <v>2.0865</v>
      </c>
      <c r="BG10" s="9"/>
      <c r="BH10" s="9" t="s">
        <v>26</v>
      </c>
      <c r="BI10" s="22">
        <v>0.30098000000000003</v>
      </c>
      <c r="BJ10" s="9">
        <v>0.22739999999999999</v>
      </c>
      <c r="BK10" s="25">
        <v>17.643999999999998</v>
      </c>
      <c r="BL10" s="9"/>
      <c r="BM10" s="9" t="s">
        <v>26</v>
      </c>
      <c r="BN10" s="22">
        <v>2.5062000000000002</v>
      </c>
      <c r="BO10" s="12">
        <v>2.1320000000000001</v>
      </c>
    </row>
    <row r="11" spans="1:74" ht="15" thickBot="1" x14ac:dyDescent="0.4">
      <c r="A11" s="13" t="s">
        <v>90</v>
      </c>
      <c r="B11" s="13"/>
      <c r="C11" s="13">
        <v>9118213</v>
      </c>
      <c r="D11" s="13"/>
      <c r="E11" s="25">
        <v>6.4829999999999999E-2</v>
      </c>
      <c r="F11" s="21">
        <v>44830</v>
      </c>
      <c r="G11" s="42">
        <v>1.0014930555555557</v>
      </c>
      <c r="H11" s="16">
        <v>76.89</v>
      </c>
      <c r="I11" s="15"/>
      <c r="J11" s="14" t="s">
        <v>26</v>
      </c>
      <c r="K11" s="17">
        <v>16.614999999999998</v>
      </c>
      <c r="L11" s="15">
        <v>2.2879999999999998</v>
      </c>
      <c r="M11" s="28">
        <v>36.292000000000002</v>
      </c>
      <c r="N11" s="27"/>
      <c r="O11" s="15" t="s">
        <v>26</v>
      </c>
      <c r="P11" s="28">
        <v>3.0043000000000002</v>
      </c>
      <c r="Q11" s="27">
        <v>2.2589999999999999</v>
      </c>
      <c r="R11" s="15"/>
      <c r="S11" s="14"/>
      <c r="T11" s="27"/>
      <c r="U11" s="15" t="s">
        <v>49</v>
      </c>
      <c r="V11" s="44">
        <v>0.13991000000000001</v>
      </c>
      <c r="W11" s="17">
        <v>0.21476999999999999</v>
      </c>
      <c r="X11" s="15"/>
      <c r="Y11" s="14" t="s">
        <v>26</v>
      </c>
      <c r="Z11" s="17">
        <v>0.17438999999999999</v>
      </c>
      <c r="AA11" s="15">
        <v>0.1757</v>
      </c>
      <c r="AB11" s="14"/>
      <c r="AC11" s="27"/>
      <c r="AD11" s="9" t="s">
        <v>26</v>
      </c>
      <c r="AE11" s="13"/>
      <c r="AF11" s="12"/>
      <c r="AG11" s="22">
        <v>4.6562999999999999</v>
      </c>
      <c r="AH11" s="13"/>
      <c r="AI11" s="12" t="s">
        <v>26</v>
      </c>
      <c r="AJ11" s="22">
        <v>0.34155000000000002</v>
      </c>
      <c r="AK11" s="30">
        <v>0.27389999999999998</v>
      </c>
      <c r="AL11" s="23">
        <v>8.7296999999999993</v>
      </c>
      <c r="AM11" s="9"/>
      <c r="AN11" s="9" t="s">
        <v>26</v>
      </c>
      <c r="AO11" s="23">
        <v>2.8024</v>
      </c>
      <c r="AP11" s="9">
        <v>2.407</v>
      </c>
      <c r="AQ11" s="25">
        <v>13.779</v>
      </c>
      <c r="AR11" s="9"/>
      <c r="AS11" s="9" t="s">
        <v>26</v>
      </c>
      <c r="AT11" s="22">
        <v>0.82245999999999997</v>
      </c>
      <c r="AU11" s="9">
        <v>0.49780000000000002</v>
      </c>
      <c r="AV11" s="25">
        <v>12.714</v>
      </c>
      <c r="AW11" s="9"/>
      <c r="AX11" s="9" t="s">
        <v>26</v>
      </c>
      <c r="AY11" s="22">
        <v>0.78747</v>
      </c>
      <c r="AZ11" s="9">
        <v>0.48370000000000002</v>
      </c>
      <c r="BA11" s="25">
        <v>9.9832999999999998</v>
      </c>
      <c r="BB11" s="9"/>
      <c r="BC11" s="9" t="s">
        <v>26</v>
      </c>
      <c r="BD11" s="22">
        <v>4.6954000000000002</v>
      </c>
      <c r="BE11" s="9">
        <v>3.9260000000000002</v>
      </c>
      <c r="BF11" s="25">
        <v>2.2206999999999999</v>
      </c>
      <c r="BG11" s="9"/>
      <c r="BH11" s="9" t="s">
        <v>26</v>
      </c>
      <c r="BI11" s="22">
        <v>0.28704000000000002</v>
      </c>
      <c r="BJ11" s="9">
        <v>0.2261</v>
      </c>
      <c r="BK11" s="25">
        <v>17.338000000000001</v>
      </c>
      <c r="BL11" s="9"/>
      <c r="BM11" s="9" t="s">
        <v>26</v>
      </c>
      <c r="BN11" s="22">
        <v>2.3136999999999999</v>
      </c>
      <c r="BO11" s="12">
        <v>2.0630000000000002</v>
      </c>
    </row>
    <row r="12" spans="1:74" ht="15" thickBot="1" x14ac:dyDescent="0.4">
      <c r="A12" s="13" t="s">
        <v>91</v>
      </c>
      <c r="B12" s="13"/>
      <c r="C12" s="13">
        <v>9118213</v>
      </c>
      <c r="D12" s="13"/>
      <c r="E12" s="25">
        <v>7.1568999999999994E-2</v>
      </c>
      <c r="F12" s="21">
        <v>44834</v>
      </c>
      <c r="G12" s="47">
        <v>3.6369675925925926</v>
      </c>
      <c r="H12" s="36">
        <v>94.891999999999996</v>
      </c>
      <c r="I12" s="37"/>
      <c r="J12" s="35" t="s">
        <v>26</v>
      </c>
      <c r="K12" s="48">
        <v>20.18</v>
      </c>
      <c r="L12" s="37">
        <v>0.94620000000000004</v>
      </c>
      <c r="M12" s="38">
        <v>18.379000000000001</v>
      </c>
      <c r="N12" s="43"/>
      <c r="O12" s="37" t="s">
        <v>26</v>
      </c>
      <c r="P12" s="38">
        <v>1.4367000000000001</v>
      </c>
      <c r="Q12" s="43">
        <v>1.127</v>
      </c>
      <c r="R12" s="37"/>
      <c r="S12" s="35"/>
      <c r="T12" s="43"/>
      <c r="U12" s="37" t="s">
        <v>49</v>
      </c>
      <c r="V12" s="49">
        <v>9.2594999999999997E-2</v>
      </c>
      <c r="W12" s="43"/>
      <c r="X12" s="37"/>
      <c r="Y12" s="35"/>
      <c r="Z12" s="43" t="s">
        <v>49</v>
      </c>
      <c r="AA12" s="36">
        <v>6.9001999999999994E-2</v>
      </c>
      <c r="AB12" s="35"/>
      <c r="AC12" s="43"/>
      <c r="AD12" s="10" t="s">
        <v>26</v>
      </c>
      <c r="AE12" s="11"/>
      <c r="AF12" s="24"/>
      <c r="AG12" s="18">
        <v>4.0785999999999998</v>
      </c>
      <c r="AH12" s="11"/>
      <c r="AI12" s="24" t="s">
        <v>26</v>
      </c>
      <c r="AJ12" s="18">
        <v>0.21445</v>
      </c>
      <c r="AK12" s="31">
        <v>0.1321</v>
      </c>
      <c r="AL12" s="19">
        <v>6.0435999999999996</v>
      </c>
      <c r="AM12" s="10"/>
      <c r="AN12" s="11" t="s">
        <v>26</v>
      </c>
      <c r="AO12" s="19">
        <v>1.2130000000000001</v>
      </c>
      <c r="AP12" s="10">
        <v>1.095</v>
      </c>
      <c r="AQ12" s="26">
        <v>12.445</v>
      </c>
      <c r="AR12" s="24"/>
      <c r="AS12" s="9" t="s">
        <v>26</v>
      </c>
      <c r="AT12" s="22">
        <v>0.503</v>
      </c>
      <c r="AU12" s="9">
        <v>0.2429</v>
      </c>
      <c r="AV12" s="25">
        <v>11.622</v>
      </c>
      <c r="AW12" s="9"/>
      <c r="AX12" s="9" t="s">
        <v>26</v>
      </c>
      <c r="AY12" s="22">
        <v>0.46618999999999999</v>
      </c>
      <c r="AZ12" s="9">
        <v>0.22670000000000001</v>
      </c>
      <c r="BA12" s="25">
        <v>10.271000000000001</v>
      </c>
      <c r="BB12" s="9"/>
      <c r="BC12" s="9" t="s">
        <v>26</v>
      </c>
      <c r="BD12" s="22">
        <v>2.0987</v>
      </c>
      <c r="BE12" s="9">
        <v>1.7030000000000001</v>
      </c>
      <c r="BF12" s="25">
        <v>1.6980999999999999</v>
      </c>
      <c r="BG12" s="9"/>
      <c r="BH12" s="9" t="s">
        <v>26</v>
      </c>
      <c r="BI12" s="22">
        <v>0.15973999999999999</v>
      </c>
      <c r="BJ12" s="9">
        <v>0.1166</v>
      </c>
      <c r="BK12" s="25">
        <v>15.129</v>
      </c>
      <c r="BL12" s="9"/>
      <c r="BM12" s="9" t="s">
        <v>26</v>
      </c>
      <c r="BN12" s="22">
        <v>1.2847999999999999</v>
      </c>
      <c r="BO12" s="12">
        <v>1.0820000000000001</v>
      </c>
    </row>
    <row r="13" spans="1:74" ht="15" thickBot="1" x14ac:dyDescent="0.4">
      <c r="A13" s="13" t="s">
        <v>92</v>
      </c>
      <c r="B13" s="13"/>
      <c r="C13" s="13">
        <v>9118213</v>
      </c>
      <c r="D13" s="13"/>
      <c r="E13" s="25">
        <v>6.8999000000000005E-2</v>
      </c>
      <c r="F13" s="21">
        <v>44838</v>
      </c>
      <c r="G13" s="30">
        <v>1.0493634259259259</v>
      </c>
      <c r="H13" s="22">
        <v>89.525000000000006</v>
      </c>
      <c r="I13" s="9"/>
      <c r="J13" s="13" t="s">
        <v>26</v>
      </c>
      <c r="K13" s="23">
        <v>19.331</v>
      </c>
      <c r="L13" s="9">
        <v>2.0350000000000001</v>
      </c>
      <c r="M13" s="25">
        <v>29.273</v>
      </c>
      <c r="N13" s="12"/>
      <c r="O13" s="9" t="s">
        <v>26</v>
      </c>
      <c r="P13" s="25">
        <v>2.7877000000000001</v>
      </c>
      <c r="Q13" s="12">
        <v>2.1589999999999998</v>
      </c>
      <c r="R13" s="9"/>
      <c r="S13" s="13"/>
      <c r="T13" s="12"/>
      <c r="U13" s="9" t="s">
        <v>49</v>
      </c>
      <c r="V13" s="46">
        <v>0.19692000000000001</v>
      </c>
      <c r="W13" s="12"/>
      <c r="X13" s="9"/>
      <c r="Y13" s="13"/>
      <c r="Z13" s="12" t="s">
        <v>49</v>
      </c>
      <c r="AA13" s="22">
        <v>9.8905000000000007E-2</v>
      </c>
      <c r="AB13" s="13"/>
      <c r="AC13" s="12"/>
      <c r="AD13" s="15" t="s">
        <v>26</v>
      </c>
      <c r="AE13" s="14"/>
      <c r="AF13" s="27"/>
      <c r="AG13" s="16">
        <v>4.4212999999999996</v>
      </c>
      <c r="AH13" s="14"/>
      <c r="AI13" s="27" t="s">
        <v>26</v>
      </c>
      <c r="AJ13" s="16">
        <v>0.312</v>
      </c>
      <c r="AK13" s="42">
        <v>0.2424</v>
      </c>
      <c r="AL13" s="27"/>
      <c r="AM13" s="15"/>
      <c r="AN13" s="14"/>
      <c r="AO13" s="27" t="s">
        <v>49</v>
      </c>
      <c r="AP13" s="16">
        <v>1.2253000000000001</v>
      </c>
      <c r="AQ13" s="28">
        <v>12.874000000000001</v>
      </c>
      <c r="AR13" s="27"/>
      <c r="AS13" s="9" t="s">
        <v>26</v>
      </c>
      <c r="AT13" s="22">
        <v>0.68144000000000005</v>
      </c>
      <c r="AU13" s="9">
        <v>0.38890000000000002</v>
      </c>
      <c r="AV13" s="25">
        <v>11.874000000000001</v>
      </c>
      <c r="AW13" s="9"/>
      <c r="AX13" s="9" t="s">
        <v>26</v>
      </c>
      <c r="AY13" s="22">
        <v>0.65476000000000001</v>
      </c>
      <c r="AZ13" s="9">
        <v>0.3947</v>
      </c>
      <c r="BA13" s="25">
        <v>13.289</v>
      </c>
      <c r="BB13" s="9"/>
      <c r="BC13" s="9" t="s">
        <v>26</v>
      </c>
      <c r="BD13" s="22">
        <v>4.0612000000000004</v>
      </c>
      <c r="BE13" s="9">
        <v>3.1890000000000001</v>
      </c>
      <c r="BF13" s="25">
        <v>1.9818</v>
      </c>
      <c r="BG13" s="9"/>
      <c r="BH13" s="9" t="s">
        <v>26</v>
      </c>
      <c r="BI13" s="22">
        <v>0.24249999999999999</v>
      </c>
      <c r="BJ13" s="9">
        <v>0.18809999999999999</v>
      </c>
      <c r="BK13" s="25">
        <v>19.358000000000001</v>
      </c>
      <c r="BL13" s="9"/>
      <c r="BM13" s="9" t="s">
        <v>26</v>
      </c>
      <c r="BN13" s="22">
        <v>2.4742000000000002</v>
      </c>
      <c r="BO13" s="12">
        <v>2.117</v>
      </c>
    </row>
    <row r="14" spans="1:74" ht="15" thickBot="1" x14ac:dyDescent="0.4">
      <c r="A14" s="13" t="s">
        <v>93</v>
      </c>
      <c r="B14" s="13"/>
      <c r="C14" s="13">
        <v>9118213</v>
      </c>
      <c r="D14" s="13"/>
      <c r="E14" s="25">
        <v>6.7622000000000002E-2</v>
      </c>
      <c r="F14" s="21">
        <v>44839</v>
      </c>
      <c r="G14" s="31">
        <v>0.97563657407407411</v>
      </c>
      <c r="H14" s="18">
        <v>105.4</v>
      </c>
      <c r="I14" s="10"/>
      <c r="J14" s="11" t="s">
        <v>26</v>
      </c>
      <c r="K14" s="19">
        <v>22.61</v>
      </c>
      <c r="L14" s="10">
        <v>1.63</v>
      </c>
      <c r="M14" s="26">
        <v>33.723999999999997</v>
      </c>
      <c r="N14" s="24"/>
      <c r="O14" s="10" t="s">
        <v>26</v>
      </c>
      <c r="P14" s="26">
        <v>2.9824000000000002</v>
      </c>
      <c r="Q14" s="24">
        <v>2.2869999999999999</v>
      </c>
      <c r="R14" s="10"/>
      <c r="S14" s="11"/>
      <c r="T14" s="24"/>
      <c r="U14" s="10" t="s">
        <v>49</v>
      </c>
      <c r="V14" s="45">
        <v>0.17404</v>
      </c>
      <c r="W14" s="24"/>
      <c r="X14" s="10"/>
      <c r="Y14" s="11"/>
      <c r="Z14" s="24" t="s">
        <v>49</v>
      </c>
      <c r="AA14" s="18">
        <v>0.15842999999999999</v>
      </c>
      <c r="AB14" s="11"/>
      <c r="AC14" s="24"/>
      <c r="AD14" s="37" t="s">
        <v>26</v>
      </c>
      <c r="AE14" s="35"/>
      <c r="AF14" s="43"/>
      <c r="AG14" s="36">
        <v>4.5193000000000003</v>
      </c>
      <c r="AH14" s="35"/>
      <c r="AI14" s="43" t="s">
        <v>26</v>
      </c>
      <c r="AJ14" s="36">
        <v>0.32579999999999998</v>
      </c>
      <c r="AK14" s="47">
        <v>0.25519999999999998</v>
      </c>
      <c r="AL14" s="48">
        <v>13.356</v>
      </c>
      <c r="AM14" s="37"/>
      <c r="AN14" s="37" t="s">
        <v>26</v>
      </c>
      <c r="AO14" s="48">
        <v>2.9430999999999998</v>
      </c>
      <c r="AP14" s="37">
        <v>2.355</v>
      </c>
      <c r="AQ14" s="38">
        <v>10.928000000000001</v>
      </c>
      <c r="AR14" s="37"/>
      <c r="AS14" s="9" t="s">
        <v>26</v>
      </c>
      <c r="AT14" s="22">
        <v>0.74556999999999995</v>
      </c>
      <c r="AU14" s="9">
        <v>0.47549999999999998</v>
      </c>
      <c r="AV14" s="25">
        <v>10.319000000000001</v>
      </c>
      <c r="AW14" s="9"/>
      <c r="AX14" s="9" t="s">
        <v>26</v>
      </c>
      <c r="AY14" s="22">
        <v>0.67573000000000005</v>
      </c>
      <c r="AZ14" s="9">
        <v>0.43840000000000001</v>
      </c>
      <c r="BA14" s="13"/>
      <c r="BB14" s="9"/>
      <c r="BC14" s="9"/>
      <c r="BD14" s="9" t="s">
        <v>49</v>
      </c>
      <c r="BE14" s="22">
        <v>3.5451999999999999</v>
      </c>
      <c r="BF14" s="25">
        <v>2.2048000000000001</v>
      </c>
      <c r="BG14" s="9"/>
      <c r="BH14" s="9" t="s">
        <v>26</v>
      </c>
      <c r="BI14" s="22">
        <v>0.28619</v>
      </c>
      <c r="BJ14" s="9">
        <v>0.2155</v>
      </c>
      <c r="BK14" s="25">
        <v>18.355</v>
      </c>
      <c r="BL14" s="9"/>
      <c r="BM14" s="9" t="s">
        <v>26</v>
      </c>
      <c r="BN14" s="22">
        <v>2.8138000000000001</v>
      </c>
      <c r="BO14" s="12">
        <v>2.331</v>
      </c>
    </row>
    <row r="15" spans="1:74" ht="15" thickBot="1" x14ac:dyDescent="0.4">
      <c r="A15" s="13" t="s">
        <v>94</v>
      </c>
      <c r="B15" s="13"/>
      <c r="C15" s="13">
        <v>9118213</v>
      </c>
      <c r="D15" s="13"/>
      <c r="E15" s="25">
        <v>6.7485000000000003E-2</v>
      </c>
      <c r="F15" s="21">
        <v>44840</v>
      </c>
      <c r="G15" s="42">
        <v>0.98423611111111109</v>
      </c>
      <c r="H15" s="16">
        <v>100.65</v>
      </c>
      <c r="I15" s="15"/>
      <c r="J15" s="14" t="s">
        <v>26</v>
      </c>
      <c r="K15" s="17">
        <v>21.686</v>
      </c>
      <c r="L15" s="15">
        <v>2.1480000000000001</v>
      </c>
      <c r="M15" s="28">
        <v>26.652000000000001</v>
      </c>
      <c r="N15" s="27"/>
      <c r="O15" s="15" t="s">
        <v>26</v>
      </c>
      <c r="P15" s="28">
        <v>2.4430000000000001</v>
      </c>
      <c r="Q15" s="27">
        <v>2.0030000000000001</v>
      </c>
      <c r="R15" s="15"/>
      <c r="S15" s="14"/>
      <c r="T15" s="27"/>
      <c r="U15" s="15" t="s">
        <v>49</v>
      </c>
      <c r="V15" s="44">
        <v>8.3269999999999997E-2</v>
      </c>
      <c r="W15" s="27"/>
      <c r="X15" s="15"/>
      <c r="Y15" s="14"/>
      <c r="Z15" s="27" t="s">
        <v>49</v>
      </c>
      <c r="AA15" s="16">
        <v>0.11638999999999999</v>
      </c>
      <c r="AB15" s="14"/>
      <c r="AC15" s="27"/>
      <c r="AD15" s="9" t="s">
        <v>26</v>
      </c>
      <c r="AE15" s="13"/>
      <c r="AF15" s="12"/>
      <c r="AG15" s="22">
        <v>4.4569999999999999</v>
      </c>
      <c r="AH15" s="13"/>
      <c r="AI15" s="12" t="s">
        <v>26</v>
      </c>
      <c r="AJ15" s="22">
        <v>0.33055000000000001</v>
      </c>
      <c r="AK15" s="30">
        <v>0.26700000000000002</v>
      </c>
      <c r="AL15" s="12"/>
      <c r="AM15" s="9"/>
      <c r="AN15" s="13"/>
      <c r="AO15" s="12" t="s">
        <v>49</v>
      </c>
      <c r="AP15" s="18">
        <v>1.3648</v>
      </c>
      <c r="AQ15" s="26">
        <v>11.028</v>
      </c>
      <c r="AR15" s="24"/>
      <c r="AS15" s="9" t="s">
        <v>26</v>
      </c>
      <c r="AT15" s="22">
        <v>0.72765999999999997</v>
      </c>
      <c r="AU15" s="9">
        <v>0.46489999999999998</v>
      </c>
      <c r="AV15" s="25">
        <v>10.333</v>
      </c>
      <c r="AW15" s="9"/>
      <c r="AX15" s="9" t="s">
        <v>26</v>
      </c>
      <c r="AY15" s="22">
        <v>0.60538000000000003</v>
      </c>
      <c r="AZ15" s="9">
        <v>0.39550000000000002</v>
      </c>
      <c r="BA15" s="25">
        <v>11.238</v>
      </c>
      <c r="BB15" s="9"/>
      <c r="BC15" s="9" t="s">
        <v>26</v>
      </c>
      <c r="BD15" s="22">
        <v>3.9437000000000002</v>
      </c>
      <c r="BE15" s="9">
        <v>3.1179999999999999</v>
      </c>
      <c r="BF15" s="25">
        <v>2.0156999999999998</v>
      </c>
      <c r="BG15" s="9"/>
      <c r="BH15" s="9" t="s">
        <v>26</v>
      </c>
      <c r="BI15" s="22">
        <v>0.2661</v>
      </c>
      <c r="BJ15" s="9">
        <v>0.2094</v>
      </c>
      <c r="BK15" s="25">
        <v>17.242999999999999</v>
      </c>
      <c r="BL15" s="9"/>
      <c r="BM15" s="9" t="s">
        <v>26</v>
      </c>
      <c r="BN15" s="22">
        <v>2.4670000000000001</v>
      </c>
      <c r="BO15" s="12">
        <v>2.153</v>
      </c>
    </row>
    <row r="16" spans="1:74" ht="15" thickBot="1" x14ac:dyDescent="0.4">
      <c r="A16" s="13" t="s">
        <v>95</v>
      </c>
      <c r="B16" s="13"/>
      <c r="C16" s="13">
        <v>9118213</v>
      </c>
      <c r="D16" s="13"/>
      <c r="E16" s="25">
        <v>7.0178000000000004E-2</v>
      </c>
      <c r="F16" s="21">
        <v>44841</v>
      </c>
      <c r="G16" s="47">
        <v>2.6540046296296298</v>
      </c>
      <c r="H16" s="36">
        <v>76.248999999999995</v>
      </c>
      <c r="I16" s="37"/>
      <c r="J16" s="35" t="s">
        <v>26</v>
      </c>
      <c r="K16" s="48">
        <v>16.286999999999999</v>
      </c>
      <c r="L16" s="37">
        <v>1.2090000000000001</v>
      </c>
      <c r="M16" s="38">
        <v>29.471</v>
      </c>
      <c r="N16" s="43"/>
      <c r="O16" s="37" t="s">
        <v>26</v>
      </c>
      <c r="P16" s="38">
        <v>1.8514999999999999</v>
      </c>
      <c r="Q16" s="43">
        <v>1.3580000000000001</v>
      </c>
      <c r="R16" s="36">
        <v>0.1976</v>
      </c>
      <c r="S16" s="35"/>
      <c r="T16" s="43" t="s">
        <v>26</v>
      </c>
      <c r="U16" s="36">
        <v>0.10506</v>
      </c>
      <c r="V16" s="47">
        <v>0.12039999999999999</v>
      </c>
      <c r="W16" s="43"/>
      <c r="X16" s="37"/>
      <c r="Y16" s="35"/>
      <c r="Z16" s="43" t="s">
        <v>49</v>
      </c>
      <c r="AA16" s="36">
        <v>6.6943000000000003E-2</v>
      </c>
      <c r="AB16" s="35"/>
      <c r="AC16" s="43"/>
      <c r="AD16" s="9" t="s">
        <v>26</v>
      </c>
      <c r="AE16" s="13"/>
      <c r="AF16" s="12"/>
      <c r="AG16" s="22">
        <v>4.2816999999999998</v>
      </c>
      <c r="AH16" s="13"/>
      <c r="AI16" s="12" t="s">
        <v>26</v>
      </c>
      <c r="AJ16" s="22">
        <v>0.23612</v>
      </c>
      <c r="AK16" s="30">
        <v>0.15279999999999999</v>
      </c>
      <c r="AL16" s="23">
        <v>4.6879999999999997</v>
      </c>
      <c r="AM16" s="9"/>
      <c r="AN16" s="13" t="s">
        <v>26</v>
      </c>
      <c r="AO16" s="23">
        <v>1.2306999999999999</v>
      </c>
      <c r="AP16" s="15">
        <v>1.19</v>
      </c>
      <c r="AQ16" s="28">
        <v>13.673999999999999</v>
      </c>
      <c r="AR16" s="27"/>
      <c r="AS16" s="9" t="s">
        <v>26</v>
      </c>
      <c r="AT16" s="22">
        <v>0.60665000000000002</v>
      </c>
      <c r="AU16" s="9">
        <v>0.31109999999999999</v>
      </c>
      <c r="AV16" s="25">
        <v>12.170999999999999</v>
      </c>
      <c r="AW16" s="9"/>
      <c r="AX16" s="9" t="s">
        <v>26</v>
      </c>
      <c r="AY16" s="22">
        <v>0.50844</v>
      </c>
      <c r="AZ16" s="9">
        <v>0.25969999999999999</v>
      </c>
      <c r="BA16" s="25">
        <v>12.574999999999999</v>
      </c>
      <c r="BB16" s="9"/>
      <c r="BC16" s="9" t="s">
        <v>26</v>
      </c>
      <c r="BD16" s="22">
        <v>2.5708000000000002</v>
      </c>
      <c r="BE16" s="9">
        <v>2.0640000000000001</v>
      </c>
      <c r="BF16" s="25">
        <v>1.7981</v>
      </c>
      <c r="BG16" s="9"/>
      <c r="BH16" s="9" t="s">
        <v>26</v>
      </c>
      <c r="BI16" s="22">
        <v>0.18714</v>
      </c>
      <c r="BJ16" s="9">
        <v>0.1391</v>
      </c>
      <c r="BK16" s="25">
        <v>19.358000000000001</v>
      </c>
      <c r="BL16" s="9"/>
      <c r="BM16" s="9" t="s">
        <v>26</v>
      </c>
      <c r="BN16" s="22">
        <v>1.2663</v>
      </c>
      <c r="BO16" s="12">
        <v>1.1659999999999999</v>
      </c>
    </row>
    <row r="17" spans="1:67" ht="15" thickBot="1" x14ac:dyDescent="0.4">
      <c r="A17" s="13" t="s">
        <v>96</v>
      </c>
      <c r="B17" s="13"/>
      <c r="C17" s="13">
        <v>9118213</v>
      </c>
      <c r="D17" s="13"/>
      <c r="E17" s="25">
        <v>7.2309999999999999E-2</v>
      </c>
      <c r="F17" s="21">
        <v>44844</v>
      </c>
      <c r="G17" s="30">
        <v>0.98848379629629635</v>
      </c>
      <c r="H17" s="9"/>
      <c r="I17" s="9"/>
      <c r="J17" s="13"/>
      <c r="K17" s="12" t="s">
        <v>49</v>
      </c>
      <c r="L17" s="22">
        <v>4.5019999999999998</v>
      </c>
      <c r="M17" s="25">
        <v>29.129000000000001</v>
      </c>
      <c r="N17" s="12"/>
      <c r="O17" s="9" t="s">
        <v>26</v>
      </c>
      <c r="P17" s="25">
        <v>2.7528000000000001</v>
      </c>
      <c r="Q17" s="12">
        <v>2.101</v>
      </c>
      <c r="R17" s="9"/>
      <c r="S17" s="13"/>
      <c r="T17" s="12"/>
      <c r="U17" s="9" t="s">
        <v>49</v>
      </c>
      <c r="V17" s="46">
        <v>0.19047</v>
      </c>
      <c r="W17" s="12"/>
      <c r="X17" s="9"/>
      <c r="Y17" s="13"/>
      <c r="Z17" s="12" t="s">
        <v>49</v>
      </c>
      <c r="AA17" s="22">
        <v>0.10711</v>
      </c>
      <c r="AB17" s="13"/>
      <c r="AC17" s="12"/>
      <c r="AD17" s="10" t="s">
        <v>26</v>
      </c>
      <c r="AE17" s="11"/>
      <c r="AF17" s="24"/>
      <c r="AG17" s="18">
        <v>3.8365</v>
      </c>
      <c r="AH17" s="11"/>
      <c r="AI17" s="24" t="s">
        <v>26</v>
      </c>
      <c r="AJ17" s="18">
        <v>0.29751</v>
      </c>
      <c r="AK17" s="31">
        <v>0.24729999999999999</v>
      </c>
      <c r="AL17" s="19">
        <v>5.5477999999999996</v>
      </c>
      <c r="AM17" s="10"/>
      <c r="AN17" s="10" t="s">
        <v>26</v>
      </c>
      <c r="AO17" s="19">
        <v>1.7012</v>
      </c>
      <c r="AP17" s="37">
        <v>1.6559999999999999</v>
      </c>
      <c r="AQ17" s="38">
        <v>11.901999999999999</v>
      </c>
      <c r="AR17" s="37"/>
      <c r="AS17" s="9" t="s">
        <v>26</v>
      </c>
      <c r="AT17" s="22">
        <v>0.61033999999999999</v>
      </c>
      <c r="AU17" s="9">
        <v>0.39589999999999997</v>
      </c>
      <c r="AV17" s="25">
        <v>12.177</v>
      </c>
      <c r="AW17" s="9"/>
      <c r="AX17" s="9" t="s">
        <v>26</v>
      </c>
      <c r="AY17" s="22">
        <v>0.67271000000000003</v>
      </c>
      <c r="AZ17" s="9">
        <v>0.40739999999999998</v>
      </c>
      <c r="BA17" s="25">
        <v>14.555999999999999</v>
      </c>
      <c r="BB17" s="9"/>
      <c r="BC17" s="9" t="s">
        <v>26</v>
      </c>
      <c r="BD17" s="22">
        <v>4.1551</v>
      </c>
      <c r="BE17" s="9">
        <v>3.2709999999999999</v>
      </c>
      <c r="BF17" s="25">
        <v>1.9268000000000001</v>
      </c>
      <c r="BG17" s="9"/>
      <c r="BH17" s="9" t="s">
        <v>26</v>
      </c>
      <c r="BI17" s="22">
        <v>0.26946999999999999</v>
      </c>
      <c r="BJ17" s="9">
        <v>0.20419999999999999</v>
      </c>
      <c r="BK17" s="25">
        <v>16.103999999999999</v>
      </c>
      <c r="BL17" s="9"/>
      <c r="BM17" s="9" t="s">
        <v>26</v>
      </c>
      <c r="BN17" s="22">
        <v>2.4247000000000001</v>
      </c>
      <c r="BO17" s="12">
        <v>2.0859999999999999</v>
      </c>
    </row>
    <row r="18" spans="1:67" ht="15" thickBot="1" x14ac:dyDescent="0.4">
      <c r="A18" s="13" t="s">
        <v>97</v>
      </c>
      <c r="B18" s="13"/>
      <c r="C18" s="13">
        <v>9118213</v>
      </c>
      <c r="D18" s="13"/>
      <c r="E18" s="25">
        <v>7.3118000000000002E-2</v>
      </c>
      <c r="F18" s="21">
        <v>44845</v>
      </c>
      <c r="G18" s="30">
        <v>1.1147337962962964</v>
      </c>
      <c r="H18" s="9"/>
      <c r="I18" s="9"/>
      <c r="J18" s="13"/>
      <c r="K18" s="12" t="s">
        <v>49</v>
      </c>
      <c r="L18" s="22">
        <v>3.8464</v>
      </c>
      <c r="M18" s="25">
        <v>30.114000000000001</v>
      </c>
      <c r="N18" s="12"/>
      <c r="O18" s="9" t="s">
        <v>26</v>
      </c>
      <c r="P18" s="25">
        <v>2.7128999999999999</v>
      </c>
      <c r="Q18" s="12">
        <v>2.0710000000000002</v>
      </c>
      <c r="R18" s="9"/>
      <c r="S18" s="13"/>
      <c r="T18" s="12"/>
      <c r="U18" s="9" t="s">
        <v>49</v>
      </c>
      <c r="V18" s="46">
        <v>0.17971999999999999</v>
      </c>
      <c r="W18" s="12"/>
      <c r="X18" s="9"/>
      <c r="Y18" s="13"/>
      <c r="Z18" s="12" t="s">
        <v>49</v>
      </c>
      <c r="AA18" s="22">
        <v>0.10138</v>
      </c>
      <c r="AB18" s="13"/>
      <c r="AC18" s="12"/>
      <c r="AD18" s="15" t="s">
        <v>26</v>
      </c>
      <c r="AE18" s="14"/>
      <c r="AF18" s="27"/>
      <c r="AG18" s="16">
        <v>3.9064999999999999</v>
      </c>
      <c r="AH18" s="14"/>
      <c r="AI18" s="27" t="s">
        <v>26</v>
      </c>
      <c r="AJ18" s="16">
        <v>0.28666000000000003</v>
      </c>
      <c r="AK18" s="42">
        <v>0.2326</v>
      </c>
      <c r="AL18" s="27"/>
      <c r="AM18" s="15"/>
      <c r="AN18" s="14"/>
      <c r="AO18" s="27" t="s">
        <v>49</v>
      </c>
      <c r="AP18" s="18">
        <v>1.1968000000000001</v>
      </c>
      <c r="AQ18" s="26">
        <v>13.999000000000001</v>
      </c>
      <c r="AR18" s="24"/>
      <c r="AS18" s="9" t="s">
        <v>26</v>
      </c>
      <c r="AT18" s="22">
        <v>0.73843999999999999</v>
      </c>
      <c r="AU18" s="9">
        <v>0.41539999999999999</v>
      </c>
      <c r="AV18" s="25">
        <v>12.746</v>
      </c>
      <c r="AW18" s="9"/>
      <c r="AX18" s="9" t="s">
        <v>26</v>
      </c>
      <c r="AY18" s="22">
        <v>0.63290000000000002</v>
      </c>
      <c r="AZ18" s="9">
        <v>0.36480000000000001</v>
      </c>
      <c r="BA18" s="25">
        <v>13.368</v>
      </c>
      <c r="BB18" s="9"/>
      <c r="BC18" s="9" t="s">
        <v>26</v>
      </c>
      <c r="BD18" s="22">
        <v>3.7128999999999999</v>
      </c>
      <c r="BE18" s="9">
        <v>2.875</v>
      </c>
      <c r="BF18" s="25">
        <v>2.2023999999999999</v>
      </c>
      <c r="BG18" s="9"/>
      <c r="BH18" s="9" t="s">
        <v>26</v>
      </c>
      <c r="BI18" s="22">
        <v>0.28720000000000001</v>
      </c>
      <c r="BJ18" s="9">
        <v>0.20810000000000001</v>
      </c>
      <c r="BK18" s="25">
        <v>17.393000000000001</v>
      </c>
      <c r="BL18" s="9"/>
      <c r="BM18" s="9" t="s">
        <v>26</v>
      </c>
      <c r="BN18" s="22">
        <v>2.0474000000000001</v>
      </c>
      <c r="BO18" s="12">
        <v>1.8069999999999999</v>
      </c>
    </row>
    <row r="19" spans="1:67" ht="15" thickBot="1" x14ac:dyDescent="0.4">
      <c r="A19" s="13" t="s">
        <v>98</v>
      </c>
      <c r="B19" s="13"/>
      <c r="C19" s="13">
        <v>9118213</v>
      </c>
      <c r="D19" s="13"/>
      <c r="E19" s="25">
        <v>7.3320999999999997E-2</v>
      </c>
      <c r="F19" s="21">
        <v>44846</v>
      </c>
      <c r="G19" s="30">
        <v>0.9838541666666667</v>
      </c>
      <c r="H19" s="22">
        <v>76.102999999999994</v>
      </c>
      <c r="I19" s="9"/>
      <c r="J19" s="13" t="s">
        <v>26</v>
      </c>
      <c r="K19" s="23">
        <v>16.507999999999999</v>
      </c>
      <c r="L19" s="9">
        <v>2.181</v>
      </c>
      <c r="M19" s="25">
        <v>40.250999999999998</v>
      </c>
      <c r="N19" s="12"/>
      <c r="O19" s="9" t="s">
        <v>26</v>
      </c>
      <c r="P19" s="25">
        <v>3.2197</v>
      </c>
      <c r="Q19" s="12">
        <v>2.4710000000000001</v>
      </c>
      <c r="R19" s="9"/>
      <c r="S19" s="13"/>
      <c r="T19" s="12"/>
      <c r="U19" s="9" t="s">
        <v>49</v>
      </c>
      <c r="V19" s="46">
        <v>0.20762</v>
      </c>
      <c r="W19" s="12"/>
      <c r="X19" s="9"/>
      <c r="Y19" s="13"/>
      <c r="Z19" s="12" t="s">
        <v>49</v>
      </c>
      <c r="AA19" s="22">
        <v>0.1236</v>
      </c>
      <c r="AB19" s="33"/>
      <c r="AC19" s="12"/>
      <c r="AD19" s="37" t="s">
        <v>26</v>
      </c>
      <c r="AE19" s="32"/>
      <c r="AF19" s="41"/>
      <c r="AG19" s="36">
        <v>9.3450000000000006</v>
      </c>
      <c r="AH19" s="32"/>
      <c r="AI19" s="41" t="s">
        <v>26</v>
      </c>
      <c r="AJ19" s="36">
        <v>0.49809999999999999</v>
      </c>
      <c r="AK19" s="39">
        <v>0.27929999999999999</v>
      </c>
      <c r="AL19" s="40">
        <v>7.3137999999999996</v>
      </c>
      <c r="AM19" s="37"/>
      <c r="AN19" s="35" t="s">
        <v>26</v>
      </c>
      <c r="AO19" s="40">
        <v>1.9248000000000001</v>
      </c>
      <c r="AP19" s="15">
        <v>1.897</v>
      </c>
      <c r="AQ19" s="28">
        <v>54.484999999999999</v>
      </c>
      <c r="AR19" s="27"/>
      <c r="AS19" s="9" t="s">
        <v>26</v>
      </c>
      <c r="AT19" s="22">
        <v>1.9144000000000001</v>
      </c>
      <c r="AU19" s="9">
        <v>0.5534</v>
      </c>
      <c r="AV19" s="25">
        <v>49.973999999999997</v>
      </c>
      <c r="AW19" s="9"/>
      <c r="AX19" s="9" t="s">
        <v>26</v>
      </c>
      <c r="AY19" s="22">
        <v>1.69</v>
      </c>
      <c r="AZ19" s="9">
        <v>0.4738</v>
      </c>
      <c r="BA19" s="25">
        <v>52.529000000000003</v>
      </c>
      <c r="BB19" s="9"/>
      <c r="BC19" s="9" t="s">
        <v>26</v>
      </c>
      <c r="BD19" s="22">
        <v>5.7511999999999999</v>
      </c>
      <c r="BE19" s="9">
        <v>3.9809999999999999</v>
      </c>
      <c r="BF19" s="25">
        <v>3.5451999999999999</v>
      </c>
      <c r="BG19" s="9"/>
      <c r="BH19" s="9" t="s">
        <v>26</v>
      </c>
      <c r="BI19" s="22">
        <v>0.35947000000000001</v>
      </c>
      <c r="BJ19" s="9">
        <v>0.24990000000000001</v>
      </c>
      <c r="BK19" s="25">
        <v>16.172999999999998</v>
      </c>
      <c r="BL19" s="9"/>
      <c r="BM19" s="9" t="s">
        <v>26</v>
      </c>
      <c r="BN19" s="22">
        <v>3.0798000000000001</v>
      </c>
      <c r="BO19" s="12">
        <v>2.7629999999999999</v>
      </c>
    </row>
    <row r="20" spans="1:67" ht="15" thickBot="1" x14ac:dyDescent="0.4">
      <c r="A20" s="13" t="s">
        <v>99</v>
      </c>
      <c r="B20" s="13"/>
      <c r="C20" s="13">
        <v>9118213</v>
      </c>
      <c r="D20" s="13"/>
      <c r="E20" s="25">
        <v>6.6198999999999994E-2</v>
      </c>
      <c r="F20" s="21">
        <v>44847</v>
      </c>
      <c r="G20" s="30">
        <v>0.97263888888888872</v>
      </c>
      <c r="H20" s="22">
        <v>70.599000000000004</v>
      </c>
      <c r="I20" s="9"/>
      <c r="J20" s="13" t="s">
        <v>26</v>
      </c>
      <c r="K20" s="23">
        <v>15.359</v>
      </c>
      <c r="L20" s="9">
        <v>2.0619999999999998</v>
      </c>
      <c r="M20" s="25">
        <v>27.635999999999999</v>
      </c>
      <c r="N20" s="12"/>
      <c r="O20" s="9" t="s">
        <v>26</v>
      </c>
      <c r="P20" s="25">
        <v>3.1271</v>
      </c>
      <c r="Q20" s="12">
        <v>2.4500000000000002</v>
      </c>
      <c r="R20" s="9"/>
      <c r="S20" s="13"/>
      <c r="T20" s="12"/>
      <c r="U20" s="9" t="s">
        <v>49</v>
      </c>
      <c r="V20" s="46">
        <v>0.24104999999999999</v>
      </c>
      <c r="W20" s="12"/>
      <c r="X20" s="9"/>
      <c r="Y20" s="13"/>
      <c r="Z20" s="12" t="s">
        <v>49</v>
      </c>
      <c r="AA20" s="22">
        <v>0.12096</v>
      </c>
      <c r="AB20" s="13"/>
      <c r="AC20" s="12"/>
      <c r="AD20" s="9" t="s">
        <v>26</v>
      </c>
      <c r="AE20" s="13"/>
      <c r="AF20" s="12"/>
      <c r="AG20" s="22">
        <v>3.8254000000000001</v>
      </c>
      <c r="AH20" s="13"/>
      <c r="AI20" s="12" t="s">
        <v>26</v>
      </c>
      <c r="AJ20" s="22">
        <v>0.31839000000000001</v>
      </c>
      <c r="AK20" s="30">
        <v>0.2757</v>
      </c>
      <c r="AL20" s="12"/>
      <c r="AM20" s="9"/>
      <c r="AN20" s="9"/>
      <c r="AO20" s="12" t="s">
        <v>49</v>
      </c>
      <c r="AP20" s="36">
        <v>1.4152</v>
      </c>
      <c r="AQ20" s="38">
        <v>15.682</v>
      </c>
      <c r="AR20" s="37"/>
      <c r="AS20" s="9" t="s">
        <v>26</v>
      </c>
      <c r="AT20" s="22">
        <v>0.80012000000000005</v>
      </c>
      <c r="AU20" s="9">
        <v>0.4375</v>
      </c>
      <c r="AV20" s="25">
        <v>14.78</v>
      </c>
      <c r="AW20" s="9"/>
      <c r="AX20" s="9" t="s">
        <v>26</v>
      </c>
      <c r="AY20" s="22">
        <v>0.78607000000000005</v>
      </c>
      <c r="AZ20" s="9">
        <v>0.45340000000000003</v>
      </c>
      <c r="BA20" s="25">
        <v>10.788</v>
      </c>
      <c r="BB20" s="9"/>
      <c r="BC20" s="9" t="s">
        <v>26</v>
      </c>
      <c r="BD20" s="22">
        <v>4.2503000000000002</v>
      </c>
      <c r="BE20" s="9">
        <v>3.335</v>
      </c>
      <c r="BF20" s="25">
        <v>2.1417999999999999</v>
      </c>
      <c r="BG20" s="9"/>
      <c r="BH20" s="9" t="s">
        <v>26</v>
      </c>
      <c r="BI20" s="22">
        <v>0.31304999999999999</v>
      </c>
      <c r="BJ20" s="9">
        <v>0.23449999999999999</v>
      </c>
      <c r="BK20" s="25">
        <v>14.061999999999999</v>
      </c>
      <c r="BL20" s="9"/>
      <c r="BM20" s="9" t="s">
        <v>26</v>
      </c>
      <c r="BN20" s="22">
        <v>2.7665999999999999</v>
      </c>
      <c r="BO20" s="12">
        <v>2.41</v>
      </c>
    </row>
    <row r="21" spans="1:67" ht="15" thickBot="1" x14ac:dyDescent="0.4">
      <c r="A21" s="13" t="s">
        <v>100</v>
      </c>
      <c r="B21" s="13"/>
      <c r="C21" s="13">
        <v>9118213</v>
      </c>
      <c r="D21" s="13"/>
      <c r="E21" s="25">
        <v>6.4327999999999996E-2</v>
      </c>
      <c r="F21" s="21">
        <v>44848</v>
      </c>
      <c r="G21" s="31">
        <v>2.6440393518518515</v>
      </c>
      <c r="H21" s="18">
        <v>95.525999999999996</v>
      </c>
      <c r="I21" s="10"/>
      <c r="J21" s="11" t="s">
        <v>26</v>
      </c>
      <c r="K21" s="19">
        <v>20.385000000000002</v>
      </c>
      <c r="L21" s="10">
        <v>1.3819999999999999</v>
      </c>
      <c r="M21" s="26">
        <v>28.677</v>
      </c>
      <c r="N21" s="24"/>
      <c r="O21" s="10" t="s">
        <v>26</v>
      </c>
      <c r="P21" s="26">
        <v>1.9834000000000001</v>
      </c>
      <c r="Q21" s="24">
        <v>1.4750000000000001</v>
      </c>
      <c r="R21" s="18">
        <v>0.23100999999999999</v>
      </c>
      <c r="S21" s="11"/>
      <c r="T21" s="24" t="s">
        <v>26</v>
      </c>
      <c r="U21" s="18">
        <v>0.10309</v>
      </c>
      <c r="V21" s="31">
        <v>0.11749999999999999</v>
      </c>
      <c r="W21" s="24"/>
      <c r="X21" s="10"/>
      <c r="Y21" s="11"/>
      <c r="Z21" s="24" t="s">
        <v>49</v>
      </c>
      <c r="AA21" s="18">
        <v>7.2016999999999998E-2</v>
      </c>
      <c r="AB21" s="11"/>
      <c r="AC21" s="24"/>
      <c r="AD21" s="10" t="s">
        <v>26</v>
      </c>
      <c r="AE21" s="11"/>
      <c r="AF21" s="24"/>
      <c r="AG21" s="18">
        <v>4.6031000000000004</v>
      </c>
      <c r="AH21" s="11"/>
      <c r="AI21" s="24" t="s">
        <v>26</v>
      </c>
      <c r="AJ21" s="18">
        <v>0.25505</v>
      </c>
      <c r="AK21" s="31">
        <v>0.1661</v>
      </c>
      <c r="AL21" s="19">
        <v>6.9770000000000003</v>
      </c>
      <c r="AM21" s="10"/>
      <c r="AN21" s="10" t="s">
        <v>26</v>
      </c>
      <c r="AO21" s="19">
        <v>1.6036999999999999</v>
      </c>
      <c r="AP21" s="9">
        <v>1.425</v>
      </c>
      <c r="AQ21" s="25">
        <v>11.911</v>
      </c>
      <c r="AR21" s="9"/>
      <c r="AS21" s="9" t="s">
        <v>26</v>
      </c>
      <c r="AT21" s="22">
        <v>0.56318999999999997</v>
      </c>
      <c r="AU21" s="9">
        <v>0.31340000000000001</v>
      </c>
      <c r="AV21" s="25">
        <v>11.013</v>
      </c>
      <c r="AW21" s="9"/>
      <c r="AX21" s="9" t="s">
        <v>26</v>
      </c>
      <c r="AY21" s="22">
        <v>0.47688000000000003</v>
      </c>
      <c r="AZ21" s="9">
        <v>0.2606</v>
      </c>
      <c r="BA21" s="25">
        <v>10.087</v>
      </c>
      <c r="BB21" s="9"/>
      <c r="BC21" s="9" t="s">
        <v>26</v>
      </c>
      <c r="BD21" s="22">
        <v>2.7422</v>
      </c>
      <c r="BE21" s="9">
        <v>2.2549999999999999</v>
      </c>
      <c r="BF21" s="25">
        <v>2.0257999999999998</v>
      </c>
      <c r="BG21" s="9"/>
      <c r="BH21" s="9" t="s">
        <v>26</v>
      </c>
      <c r="BI21" s="22">
        <v>0.21868000000000001</v>
      </c>
      <c r="BJ21" s="9">
        <v>0.15809999999999999</v>
      </c>
      <c r="BK21" s="25">
        <v>14.224</v>
      </c>
      <c r="BL21" s="9"/>
      <c r="BM21" s="9" t="s">
        <v>26</v>
      </c>
      <c r="BN21" s="22">
        <v>1.2556</v>
      </c>
      <c r="BO21" s="12">
        <v>1.2629999999999999</v>
      </c>
    </row>
    <row r="22" spans="1:67" ht="15" thickBot="1" x14ac:dyDescent="0.4">
      <c r="A22" s="13" t="s">
        <v>101</v>
      </c>
      <c r="B22" s="13"/>
      <c r="C22" s="13">
        <v>9118213</v>
      </c>
      <c r="D22" s="13"/>
      <c r="E22" s="25">
        <v>6.6567000000000001E-2</v>
      </c>
      <c r="F22" s="21">
        <v>44852</v>
      </c>
      <c r="G22" s="42">
        <v>0.99539351851851843</v>
      </c>
      <c r="H22" s="15"/>
      <c r="I22" s="15"/>
      <c r="J22" s="14"/>
      <c r="K22" s="27" t="s">
        <v>49</v>
      </c>
      <c r="L22" s="16">
        <v>4.6258999999999997</v>
      </c>
      <c r="M22" s="28">
        <v>26.155000000000001</v>
      </c>
      <c r="N22" s="27"/>
      <c r="O22" s="15" t="s">
        <v>26</v>
      </c>
      <c r="P22" s="28">
        <v>2.7681</v>
      </c>
      <c r="Q22" s="27">
        <v>2.2170000000000001</v>
      </c>
      <c r="R22" s="15"/>
      <c r="S22" s="14"/>
      <c r="T22" s="27"/>
      <c r="U22" s="15" t="s">
        <v>49</v>
      </c>
      <c r="V22" s="44">
        <v>0.17817</v>
      </c>
      <c r="W22" s="27"/>
      <c r="X22" s="15"/>
      <c r="Y22" s="14"/>
      <c r="Z22" s="27" t="s">
        <v>49</v>
      </c>
      <c r="AA22" s="16">
        <v>0.11525000000000001</v>
      </c>
      <c r="AB22" s="14"/>
      <c r="AC22" s="27"/>
      <c r="AD22" s="15" t="s">
        <v>26</v>
      </c>
      <c r="AE22" s="14"/>
      <c r="AF22" s="27"/>
      <c r="AG22" s="16">
        <v>4.5739000000000001</v>
      </c>
      <c r="AH22" s="14"/>
      <c r="AI22" s="27" t="s">
        <v>26</v>
      </c>
      <c r="AJ22" s="16">
        <v>0.33084999999999998</v>
      </c>
      <c r="AK22" s="42">
        <v>0.26129999999999998</v>
      </c>
      <c r="AL22" s="17">
        <v>12.567</v>
      </c>
      <c r="AM22" s="15"/>
      <c r="AN22" s="15" t="s">
        <v>26</v>
      </c>
      <c r="AO22" s="17">
        <v>2.6919</v>
      </c>
      <c r="AP22" s="9">
        <v>2.2120000000000002</v>
      </c>
      <c r="AQ22" s="25">
        <v>13.224</v>
      </c>
      <c r="AR22" s="9"/>
      <c r="AS22" s="9" t="s">
        <v>26</v>
      </c>
      <c r="AT22" s="22">
        <v>0.83384000000000003</v>
      </c>
      <c r="AU22" s="9">
        <v>0.50919999999999999</v>
      </c>
      <c r="AV22" s="25">
        <v>12.154999999999999</v>
      </c>
      <c r="AW22" s="9"/>
      <c r="AX22" s="9" t="s">
        <v>26</v>
      </c>
      <c r="AY22" s="22">
        <v>0.78944000000000003</v>
      </c>
      <c r="AZ22" s="9">
        <v>0.48549999999999999</v>
      </c>
      <c r="BA22" s="25">
        <v>12.856</v>
      </c>
      <c r="BB22" s="9"/>
      <c r="BC22" s="9" t="s">
        <v>26</v>
      </c>
      <c r="BD22" s="22">
        <v>4.0754000000000001</v>
      </c>
      <c r="BE22" s="9">
        <v>3.0910000000000002</v>
      </c>
      <c r="BF22" s="25">
        <v>2.2193000000000001</v>
      </c>
      <c r="BG22" s="9"/>
      <c r="BH22" s="9" t="s">
        <v>26</v>
      </c>
      <c r="BI22" s="22">
        <v>0.34902</v>
      </c>
      <c r="BJ22" s="9">
        <v>0.25559999999999999</v>
      </c>
      <c r="BK22" s="25">
        <v>14.125</v>
      </c>
      <c r="BL22" s="9"/>
      <c r="BM22" s="9" t="s">
        <v>26</v>
      </c>
      <c r="BN22" s="22">
        <v>2.4125000000000001</v>
      </c>
      <c r="BO22" s="12">
        <v>2.1669999999999998</v>
      </c>
    </row>
    <row r="23" spans="1:67" ht="15" thickBot="1" x14ac:dyDescent="0.4">
      <c r="A23" s="13" t="s">
        <v>102</v>
      </c>
      <c r="B23" s="13"/>
      <c r="C23" s="13">
        <v>9118213</v>
      </c>
      <c r="D23" s="13"/>
      <c r="E23" s="25">
        <v>6.3500000000000001E-2</v>
      </c>
      <c r="F23" s="21">
        <v>44852</v>
      </c>
      <c r="G23" s="47">
        <v>1.0737731481481483</v>
      </c>
      <c r="H23" s="36">
        <v>61.311999999999998</v>
      </c>
      <c r="I23" s="37"/>
      <c r="J23" s="35" t="s">
        <v>26</v>
      </c>
      <c r="K23" s="48">
        <v>13.436999999999999</v>
      </c>
      <c r="L23" s="37">
        <v>2.0920000000000001</v>
      </c>
      <c r="M23" s="38">
        <v>45.509</v>
      </c>
      <c r="N23" s="43"/>
      <c r="O23" s="37" t="s">
        <v>26</v>
      </c>
      <c r="P23" s="38">
        <v>3.5156999999999998</v>
      </c>
      <c r="Q23" s="43">
        <v>2.4500000000000002</v>
      </c>
      <c r="R23" s="37"/>
      <c r="S23" s="35"/>
      <c r="T23" s="43"/>
      <c r="U23" s="37" t="s">
        <v>49</v>
      </c>
      <c r="V23" s="49">
        <v>0.21204999999999999</v>
      </c>
      <c r="W23" s="43"/>
      <c r="X23" s="37"/>
      <c r="Y23" s="35"/>
      <c r="Z23" s="43" t="s">
        <v>49</v>
      </c>
      <c r="AA23" s="36">
        <v>0.11494</v>
      </c>
      <c r="AB23" s="35"/>
      <c r="AC23" s="43"/>
      <c r="AD23" s="37" t="s">
        <v>26</v>
      </c>
      <c r="AE23" s="35"/>
      <c r="AF23" s="43"/>
      <c r="AG23" s="36">
        <v>3.1339000000000001</v>
      </c>
      <c r="AH23" s="35"/>
      <c r="AI23" s="43" t="s">
        <v>26</v>
      </c>
      <c r="AJ23" s="36">
        <v>0.28982999999999998</v>
      </c>
      <c r="AK23" s="47">
        <v>0.26400000000000001</v>
      </c>
      <c r="AL23" s="48">
        <v>9.3323999999999998</v>
      </c>
      <c r="AM23" s="37"/>
      <c r="AN23" s="37" t="s">
        <v>26</v>
      </c>
      <c r="AO23" s="48">
        <v>2.8574000000000002</v>
      </c>
      <c r="AP23" s="9">
        <v>2.3660000000000001</v>
      </c>
      <c r="AQ23" s="25">
        <v>12.787000000000001</v>
      </c>
      <c r="AR23" s="9"/>
      <c r="AS23" s="9" t="s">
        <v>26</v>
      </c>
      <c r="AT23" s="22">
        <v>0.73736000000000002</v>
      </c>
      <c r="AU23" s="9">
        <v>0.44650000000000001</v>
      </c>
      <c r="AV23" s="25">
        <v>11.144</v>
      </c>
      <c r="AW23" s="9"/>
      <c r="AX23" s="9" t="s">
        <v>26</v>
      </c>
      <c r="AY23" s="22">
        <v>0.59152000000000005</v>
      </c>
      <c r="AZ23" s="9">
        <v>0.36149999999999999</v>
      </c>
      <c r="BA23" s="25">
        <v>11.292999999999999</v>
      </c>
      <c r="BB23" s="9"/>
      <c r="BC23" s="9" t="s">
        <v>26</v>
      </c>
      <c r="BD23" s="22">
        <v>4.1180000000000003</v>
      </c>
      <c r="BE23" s="9">
        <v>3.2330000000000001</v>
      </c>
      <c r="BF23" s="25">
        <v>1.7343999999999999</v>
      </c>
      <c r="BG23" s="9"/>
      <c r="BH23" s="9" t="s">
        <v>26</v>
      </c>
      <c r="BI23" s="22">
        <v>0.23923</v>
      </c>
      <c r="BJ23" s="9">
        <v>0.1956</v>
      </c>
      <c r="BK23" s="25">
        <v>16.265999999999998</v>
      </c>
      <c r="BL23" s="9"/>
      <c r="BM23" s="9" t="s">
        <v>26</v>
      </c>
      <c r="BN23" s="22">
        <v>2.0621999999999998</v>
      </c>
      <c r="BO23" s="12">
        <v>1.8879999999999999</v>
      </c>
    </row>
    <row r="24" spans="1:67" ht="15" thickBot="1" x14ac:dyDescent="0.4">
      <c r="A24" s="13" t="s">
        <v>103</v>
      </c>
      <c r="B24" s="13"/>
      <c r="C24" s="13">
        <v>9118213</v>
      </c>
      <c r="D24" s="13"/>
      <c r="E24" s="25">
        <v>6.2361E-2</v>
      </c>
      <c r="F24" s="21">
        <v>44853</v>
      </c>
      <c r="G24" s="30">
        <v>1.0031828703703705</v>
      </c>
      <c r="H24" s="22">
        <v>67.608000000000004</v>
      </c>
      <c r="I24" s="9"/>
      <c r="J24" s="13" t="s">
        <v>26</v>
      </c>
      <c r="K24" s="23">
        <v>14.795999999999999</v>
      </c>
      <c r="L24" s="9">
        <v>2.2360000000000002</v>
      </c>
      <c r="M24" s="25">
        <v>47.113999999999997</v>
      </c>
      <c r="N24" s="12"/>
      <c r="O24" s="9" t="s">
        <v>26</v>
      </c>
      <c r="P24" s="25">
        <v>3.5695000000000001</v>
      </c>
      <c r="Q24" s="12">
        <v>2.4980000000000002</v>
      </c>
      <c r="R24" s="9"/>
      <c r="S24" s="13"/>
      <c r="T24" s="12"/>
      <c r="U24" s="9" t="s">
        <v>49</v>
      </c>
      <c r="V24" s="46">
        <v>0.10552</v>
      </c>
      <c r="W24" s="12"/>
      <c r="X24" s="9"/>
      <c r="Y24" s="13"/>
      <c r="Z24" s="12" t="s">
        <v>49</v>
      </c>
      <c r="AA24" s="22">
        <v>0.11717</v>
      </c>
      <c r="AB24" s="13"/>
      <c r="AC24" s="12"/>
      <c r="AD24" s="9" t="s">
        <v>26</v>
      </c>
      <c r="AE24" s="13"/>
      <c r="AF24" s="12"/>
      <c r="AG24" s="22">
        <v>4.1351000000000004</v>
      </c>
      <c r="AH24" s="13"/>
      <c r="AI24" s="12" t="s">
        <v>26</v>
      </c>
      <c r="AJ24" s="22">
        <v>0.32038</v>
      </c>
      <c r="AK24" s="30">
        <v>0.26269999999999999</v>
      </c>
      <c r="AL24" s="12"/>
      <c r="AM24" s="9"/>
      <c r="AN24" s="9"/>
      <c r="AO24" s="12" t="s">
        <v>49</v>
      </c>
      <c r="AP24" s="22">
        <v>1.3867</v>
      </c>
      <c r="AQ24" s="25">
        <v>12.452999999999999</v>
      </c>
      <c r="AR24" s="9"/>
      <c r="AS24" s="9" t="s">
        <v>26</v>
      </c>
      <c r="AT24" s="22">
        <v>0.70128999999999997</v>
      </c>
      <c r="AU24" s="9">
        <v>0.42499999999999999</v>
      </c>
      <c r="AV24" s="25">
        <v>12.803000000000001</v>
      </c>
      <c r="AW24" s="9"/>
      <c r="AX24" s="9" t="s">
        <v>26</v>
      </c>
      <c r="AY24" s="22">
        <v>0.72850999999999999</v>
      </c>
      <c r="AZ24" s="9">
        <v>0.43940000000000001</v>
      </c>
      <c r="BA24" s="25">
        <v>8.298</v>
      </c>
      <c r="BB24" s="9"/>
      <c r="BC24" s="9" t="s">
        <v>26</v>
      </c>
      <c r="BD24" s="22">
        <v>4.6115000000000004</v>
      </c>
      <c r="BE24" s="9">
        <v>3.7549999999999999</v>
      </c>
      <c r="BF24" s="25">
        <v>2.0251000000000001</v>
      </c>
      <c r="BG24" s="9"/>
      <c r="BH24" s="9" t="s">
        <v>26</v>
      </c>
      <c r="BI24" s="22">
        <v>0.31895000000000001</v>
      </c>
      <c r="BJ24" s="9">
        <v>0.24340000000000001</v>
      </c>
      <c r="BK24" s="25">
        <v>19.881</v>
      </c>
      <c r="BL24" s="9"/>
      <c r="BM24" s="9" t="s">
        <v>26</v>
      </c>
      <c r="BN24" s="22">
        <v>2.4177</v>
      </c>
      <c r="BO24" s="12">
        <v>2.1</v>
      </c>
    </row>
    <row r="25" spans="1:67" ht="15" thickBot="1" x14ac:dyDescent="0.4">
      <c r="A25" s="13" t="s">
        <v>104</v>
      </c>
      <c r="B25" s="13"/>
      <c r="C25" s="13">
        <v>9118213</v>
      </c>
      <c r="D25" s="13"/>
      <c r="E25" s="25">
        <v>6.3E-2</v>
      </c>
      <c r="F25" s="21">
        <v>44854</v>
      </c>
      <c r="G25" s="31">
        <v>1.0188541666666666</v>
      </c>
      <c r="H25" s="18">
        <v>66.926000000000002</v>
      </c>
      <c r="I25" s="10"/>
      <c r="J25" s="11" t="s">
        <v>26</v>
      </c>
      <c r="K25" s="19">
        <v>14.542999999999999</v>
      </c>
      <c r="L25" s="10">
        <v>1.85</v>
      </c>
      <c r="M25" s="26">
        <v>42.706000000000003</v>
      </c>
      <c r="N25" s="24"/>
      <c r="O25" s="10" t="s">
        <v>26</v>
      </c>
      <c r="P25" s="26">
        <v>3.274</v>
      </c>
      <c r="Q25" s="24">
        <v>2.399</v>
      </c>
      <c r="R25" s="10"/>
      <c r="S25" s="11"/>
      <c r="T25" s="24"/>
      <c r="U25" s="10" t="s">
        <v>49</v>
      </c>
      <c r="V25" s="45">
        <v>0.19675000000000001</v>
      </c>
      <c r="W25" s="24"/>
      <c r="X25" s="10"/>
      <c r="Y25" s="11"/>
      <c r="Z25" s="24" t="s">
        <v>49</v>
      </c>
      <c r="AA25" s="18">
        <v>0.12762000000000001</v>
      </c>
      <c r="AB25" s="11"/>
      <c r="AC25" s="24"/>
      <c r="AD25" s="9" t="s">
        <v>26</v>
      </c>
      <c r="AE25" s="13"/>
      <c r="AF25" s="12"/>
      <c r="AG25" s="22">
        <v>3.6432000000000002</v>
      </c>
      <c r="AH25" s="13"/>
      <c r="AI25" s="12" t="s">
        <v>26</v>
      </c>
      <c r="AJ25" s="22">
        <v>0.31336999999999998</v>
      </c>
      <c r="AK25" s="30">
        <v>0.2757</v>
      </c>
      <c r="AL25" s="12"/>
      <c r="AM25" s="9"/>
      <c r="AN25" s="9"/>
      <c r="AO25" s="12" t="s">
        <v>49</v>
      </c>
      <c r="AP25" s="22">
        <v>1.4121999999999999</v>
      </c>
      <c r="AQ25" s="25">
        <v>13.295</v>
      </c>
      <c r="AR25" s="9"/>
      <c r="AS25" s="9" t="s">
        <v>26</v>
      </c>
      <c r="AT25" s="22">
        <v>0.84609000000000001</v>
      </c>
      <c r="AU25" s="9">
        <v>0.52359999999999995</v>
      </c>
      <c r="AV25" s="25">
        <v>11.113</v>
      </c>
      <c r="AW25" s="9"/>
      <c r="AX25" s="9" t="s">
        <v>26</v>
      </c>
      <c r="AY25" s="22">
        <v>0.68518000000000001</v>
      </c>
      <c r="AZ25" s="9">
        <v>0.44550000000000001</v>
      </c>
      <c r="BA25" s="25">
        <v>10.708</v>
      </c>
      <c r="BB25" s="9"/>
      <c r="BC25" s="9" t="s">
        <v>26</v>
      </c>
      <c r="BD25" s="22">
        <v>4.4612999999999996</v>
      </c>
      <c r="BE25" s="9">
        <v>3.657</v>
      </c>
      <c r="BF25" s="25">
        <v>1.7782</v>
      </c>
      <c r="BG25" s="9"/>
      <c r="BH25" s="9" t="s">
        <v>26</v>
      </c>
      <c r="BI25" s="22">
        <v>0.27262999999999998</v>
      </c>
      <c r="BJ25" s="9">
        <v>0.21540000000000001</v>
      </c>
      <c r="BK25" s="25">
        <v>15.532</v>
      </c>
      <c r="BL25" s="9"/>
      <c r="BM25" s="9" t="s">
        <v>26</v>
      </c>
      <c r="BN25" s="22">
        <v>2.3738999999999999</v>
      </c>
      <c r="BO25" s="12">
        <v>2.1280000000000001</v>
      </c>
    </row>
    <row r="26" spans="1:67" ht="15" thickBot="1" x14ac:dyDescent="0.4">
      <c r="A26" s="13" t="s">
        <v>105</v>
      </c>
      <c r="B26" s="13"/>
      <c r="C26" s="13">
        <v>9118213</v>
      </c>
      <c r="D26" s="13"/>
      <c r="E26" s="25">
        <v>6.5948000000000007E-2</v>
      </c>
      <c r="F26" s="21">
        <v>44855</v>
      </c>
      <c r="G26" s="42">
        <v>2.5952314814814814</v>
      </c>
      <c r="H26" s="16">
        <v>57.872</v>
      </c>
      <c r="I26" s="15"/>
      <c r="J26" s="14" t="s">
        <v>26</v>
      </c>
      <c r="K26" s="17">
        <v>12.43</v>
      </c>
      <c r="L26" s="15">
        <v>1.2549999999999999</v>
      </c>
      <c r="M26" s="28">
        <v>31.372</v>
      </c>
      <c r="N26" s="27"/>
      <c r="O26" s="15" t="s">
        <v>26</v>
      </c>
      <c r="P26" s="28">
        <v>1.9126000000000001</v>
      </c>
      <c r="Q26" s="27">
        <v>1.391</v>
      </c>
      <c r="R26" s="15"/>
      <c r="S26" s="14"/>
      <c r="T26" s="27"/>
      <c r="U26" s="15" t="s">
        <v>49</v>
      </c>
      <c r="V26" s="44">
        <v>0.11013000000000001</v>
      </c>
      <c r="W26" s="17">
        <v>0.20268</v>
      </c>
      <c r="X26" s="15"/>
      <c r="Y26" s="14" t="s">
        <v>26</v>
      </c>
      <c r="Z26" s="17">
        <v>7.3591000000000004E-2</v>
      </c>
      <c r="AA26" s="15">
        <v>8.2159999999999997E-2</v>
      </c>
      <c r="AB26" s="14"/>
      <c r="AC26" s="27"/>
      <c r="AD26" s="10" t="s">
        <v>26</v>
      </c>
      <c r="AE26" s="11"/>
      <c r="AF26" s="24"/>
      <c r="AG26" s="18">
        <v>3.4175</v>
      </c>
      <c r="AH26" s="11"/>
      <c r="AI26" s="24" t="s">
        <v>26</v>
      </c>
      <c r="AJ26" s="18">
        <v>0.2112</v>
      </c>
      <c r="AK26" s="31">
        <v>0.15690000000000001</v>
      </c>
      <c r="AL26" s="24"/>
      <c r="AM26" s="10"/>
      <c r="AN26" s="10"/>
      <c r="AO26" s="24" t="s">
        <v>49</v>
      </c>
      <c r="AP26" s="22">
        <v>1.5254000000000001</v>
      </c>
      <c r="AQ26" s="25">
        <v>12.571</v>
      </c>
      <c r="AR26" s="9"/>
      <c r="AS26" s="9" t="s">
        <v>26</v>
      </c>
      <c r="AT26" s="22">
        <v>0.55662999999999996</v>
      </c>
      <c r="AU26" s="9">
        <v>0.29570000000000002</v>
      </c>
      <c r="AV26" s="25">
        <v>10.536</v>
      </c>
      <c r="AW26" s="9"/>
      <c r="AX26" s="9" t="s">
        <v>26</v>
      </c>
      <c r="AY26" s="22">
        <v>0.50660000000000005</v>
      </c>
      <c r="AZ26" s="9">
        <v>0.2903</v>
      </c>
      <c r="BA26" s="25">
        <v>9.8356999999999992</v>
      </c>
      <c r="BB26" s="9"/>
      <c r="BC26" s="9" t="s">
        <v>26</v>
      </c>
      <c r="BD26" s="22">
        <v>2.6122999999999998</v>
      </c>
      <c r="BE26" s="9">
        <v>2.0419999999999998</v>
      </c>
      <c r="BF26" s="25">
        <v>1.6805000000000001</v>
      </c>
      <c r="BG26" s="9"/>
      <c r="BH26" s="9" t="s">
        <v>26</v>
      </c>
      <c r="BI26" s="22">
        <v>0.18462999999999999</v>
      </c>
      <c r="BJ26" s="9">
        <v>0.14000000000000001</v>
      </c>
      <c r="BK26" s="25">
        <v>16.295000000000002</v>
      </c>
      <c r="BL26" s="9"/>
      <c r="BM26" s="9" t="s">
        <v>26</v>
      </c>
      <c r="BN26" s="22">
        <v>1.6747000000000001</v>
      </c>
      <c r="BO26" s="12">
        <v>1.3979999999999999</v>
      </c>
    </row>
    <row r="27" spans="1:67" ht="15" thickBot="1" x14ac:dyDescent="0.4">
      <c r="A27" s="13" t="s">
        <v>106</v>
      </c>
      <c r="B27" s="13"/>
      <c r="C27" s="13">
        <v>9118213</v>
      </c>
      <c r="D27" s="13"/>
      <c r="E27" s="25">
        <v>6.5000000000000002E-2</v>
      </c>
      <c r="F27" s="21">
        <v>44862</v>
      </c>
      <c r="G27" s="47">
        <v>2.6692939814814811</v>
      </c>
      <c r="H27" s="36">
        <v>55.615000000000002</v>
      </c>
      <c r="I27" s="37"/>
      <c r="J27" s="35" t="s">
        <v>26</v>
      </c>
      <c r="K27" s="48">
        <v>11.941000000000001</v>
      </c>
      <c r="L27" s="37">
        <v>1.2270000000000001</v>
      </c>
      <c r="M27" s="38">
        <v>30.311</v>
      </c>
      <c r="N27" s="43"/>
      <c r="O27" s="37" t="s">
        <v>26</v>
      </c>
      <c r="P27" s="38">
        <v>1.5753999999999999</v>
      </c>
      <c r="Q27" s="43">
        <v>1.276</v>
      </c>
      <c r="R27" s="37"/>
      <c r="S27" s="35"/>
      <c r="T27" s="43"/>
      <c r="U27" s="37" t="s">
        <v>49</v>
      </c>
      <c r="V27" s="49">
        <v>0.13003000000000001</v>
      </c>
      <c r="W27" s="43"/>
      <c r="X27" s="37"/>
      <c r="Y27" s="35"/>
      <c r="Z27" s="43" t="s">
        <v>49</v>
      </c>
      <c r="AA27" s="36">
        <v>4.7958000000000001E-2</v>
      </c>
      <c r="AB27" s="35"/>
      <c r="AC27" s="43"/>
      <c r="AD27" s="15" t="s">
        <v>26</v>
      </c>
      <c r="AE27" s="14"/>
      <c r="AF27" s="27"/>
      <c r="AG27" s="16">
        <v>3.0922000000000001</v>
      </c>
      <c r="AH27" s="14"/>
      <c r="AI27" s="27" t="s">
        <v>26</v>
      </c>
      <c r="AJ27" s="16">
        <v>0.20835999999999999</v>
      </c>
      <c r="AK27" s="42">
        <v>0.16969999999999999</v>
      </c>
      <c r="AL27" s="27"/>
      <c r="AM27" s="15"/>
      <c r="AN27" s="15"/>
      <c r="AO27" s="27" t="s">
        <v>49</v>
      </c>
      <c r="AP27" s="22">
        <v>0.83472999999999997</v>
      </c>
      <c r="AQ27" s="25">
        <v>12.045</v>
      </c>
      <c r="AR27" s="9"/>
      <c r="AS27" s="9" t="s">
        <v>26</v>
      </c>
      <c r="AT27" s="22">
        <v>0.61839999999999995</v>
      </c>
      <c r="AU27" s="9">
        <v>0.34989999999999999</v>
      </c>
      <c r="AV27" s="25">
        <v>9.9642999999999997</v>
      </c>
      <c r="AW27" s="9"/>
      <c r="AX27" s="9" t="s">
        <v>26</v>
      </c>
      <c r="AY27" s="22">
        <v>0.46742</v>
      </c>
      <c r="AZ27" s="9">
        <v>0.27239999999999998</v>
      </c>
      <c r="BA27" s="25">
        <v>9.1014999999999997</v>
      </c>
      <c r="BB27" s="9"/>
      <c r="BC27" s="9" t="s">
        <v>26</v>
      </c>
      <c r="BD27" s="22">
        <v>2.6764000000000001</v>
      </c>
      <c r="BE27" s="9">
        <v>2.1539999999999999</v>
      </c>
      <c r="BF27" s="25">
        <v>1.5108999999999999</v>
      </c>
      <c r="BG27" s="9"/>
      <c r="BH27" s="9" t="s">
        <v>26</v>
      </c>
      <c r="BI27" s="22">
        <v>0.16949</v>
      </c>
      <c r="BJ27" s="9">
        <v>0.13289999999999999</v>
      </c>
      <c r="BK27" s="25">
        <v>15.726000000000001</v>
      </c>
      <c r="BL27" s="9"/>
      <c r="BM27" s="9" t="s">
        <v>26</v>
      </c>
      <c r="BN27" s="22">
        <v>1.2906</v>
      </c>
      <c r="BO27" s="12">
        <v>1.28</v>
      </c>
    </row>
    <row r="28" spans="1:67" ht="15" thickBot="1" x14ac:dyDescent="0.4">
      <c r="A28" s="13" t="s">
        <v>107</v>
      </c>
      <c r="B28" s="13"/>
      <c r="C28" s="13">
        <v>9118213</v>
      </c>
      <c r="D28" s="13"/>
      <c r="E28" s="25">
        <v>6.3843999999999998E-2</v>
      </c>
      <c r="F28" s="21">
        <v>44865</v>
      </c>
      <c r="G28" s="30">
        <v>0.91515046296296287</v>
      </c>
      <c r="H28" s="22">
        <v>64.703000000000003</v>
      </c>
      <c r="I28" s="9"/>
      <c r="J28" s="13" t="s">
        <v>26</v>
      </c>
      <c r="K28" s="23">
        <v>14.257</v>
      </c>
      <c r="L28" s="9">
        <v>2.4129999999999998</v>
      </c>
      <c r="M28" s="25">
        <v>27.943000000000001</v>
      </c>
      <c r="N28" s="12"/>
      <c r="O28" s="9" t="s">
        <v>26</v>
      </c>
      <c r="P28" s="25">
        <v>2.7703000000000002</v>
      </c>
      <c r="Q28" s="12">
        <v>2.2610000000000001</v>
      </c>
      <c r="R28" s="9"/>
      <c r="S28" s="13"/>
      <c r="T28" s="12"/>
      <c r="U28" s="9" t="s">
        <v>49</v>
      </c>
      <c r="V28" s="46">
        <v>0.23241999999999999</v>
      </c>
      <c r="W28" s="12"/>
      <c r="X28" s="9"/>
      <c r="Y28" s="13"/>
      <c r="Z28" s="12" t="s">
        <v>49</v>
      </c>
      <c r="AA28" s="22">
        <v>0.12916</v>
      </c>
      <c r="AB28" s="13"/>
      <c r="AC28" s="12"/>
      <c r="AD28" s="37" t="s">
        <v>26</v>
      </c>
      <c r="AE28" s="37"/>
      <c r="AF28" s="37"/>
      <c r="AG28" s="38">
        <v>4.0140000000000002</v>
      </c>
      <c r="AH28" s="37"/>
      <c r="AI28" s="37" t="s">
        <v>26</v>
      </c>
      <c r="AJ28" s="36">
        <v>0.33509</v>
      </c>
      <c r="AK28" s="37">
        <v>0.28810000000000002</v>
      </c>
      <c r="AL28" s="38">
        <v>8.0492000000000008</v>
      </c>
      <c r="AM28" s="37"/>
      <c r="AN28" s="37" t="s">
        <v>26</v>
      </c>
      <c r="AO28" s="36">
        <v>3.3012000000000001</v>
      </c>
      <c r="AP28" s="9">
        <v>2.794</v>
      </c>
      <c r="AQ28" s="25">
        <v>12.456</v>
      </c>
      <c r="AR28" s="9"/>
      <c r="AS28" s="9" t="s">
        <v>26</v>
      </c>
      <c r="AT28" s="22">
        <v>0.66490000000000005</v>
      </c>
      <c r="AU28" s="9">
        <v>0.4289</v>
      </c>
      <c r="AV28" s="25">
        <v>10.962</v>
      </c>
      <c r="AW28" s="9"/>
      <c r="AX28" s="9" t="s">
        <v>26</v>
      </c>
      <c r="AY28" s="22">
        <v>0.68371000000000004</v>
      </c>
      <c r="AZ28" s="9">
        <v>0.44979999999999998</v>
      </c>
      <c r="BA28" s="25">
        <v>10.186999999999999</v>
      </c>
      <c r="BB28" s="9"/>
      <c r="BC28" s="9" t="s">
        <v>26</v>
      </c>
      <c r="BD28" s="22">
        <v>4.6257999999999999</v>
      </c>
      <c r="BE28" s="9">
        <v>3.871</v>
      </c>
      <c r="BF28" s="25">
        <v>1.6875</v>
      </c>
      <c r="BG28" s="9"/>
      <c r="BH28" s="9" t="s">
        <v>26</v>
      </c>
      <c r="BI28" s="22">
        <v>0.23229</v>
      </c>
      <c r="BJ28" s="9">
        <v>0.1958</v>
      </c>
      <c r="BK28" s="25">
        <v>15.731999999999999</v>
      </c>
      <c r="BL28" s="9"/>
      <c r="BM28" s="9" t="s">
        <v>26</v>
      </c>
      <c r="BN28" s="22">
        <v>2.4441000000000002</v>
      </c>
      <c r="BO28" s="12">
        <v>2.242</v>
      </c>
    </row>
    <row r="29" spans="1:67" ht="15" thickBot="1" x14ac:dyDescent="0.4">
      <c r="A29" s="13" t="s">
        <v>108</v>
      </c>
      <c r="B29" s="13"/>
      <c r="C29" s="13">
        <v>9118213</v>
      </c>
      <c r="D29" s="13"/>
      <c r="E29" s="25">
        <v>6.2821000000000002E-2</v>
      </c>
      <c r="F29" s="21">
        <v>44866</v>
      </c>
      <c r="G29" s="30">
        <v>0.93777777777777782</v>
      </c>
      <c r="H29" s="22">
        <v>67.018000000000001</v>
      </c>
      <c r="I29" s="9"/>
      <c r="J29" s="13" t="s">
        <v>26</v>
      </c>
      <c r="K29" s="23">
        <v>14.66</v>
      </c>
      <c r="L29" s="9">
        <v>2.1949999999999998</v>
      </c>
      <c r="M29" s="25">
        <v>48.963999999999999</v>
      </c>
      <c r="N29" s="12"/>
      <c r="O29" s="9" t="s">
        <v>26</v>
      </c>
      <c r="P29" s="25">
        <v>3.5486</v>
      </c>
      <c r="Q29" s="12">
        <v>2.5720000000000001</v>
      </c>
      <c r="R29" s="9"/>
      <c r="S29" s="13"/>
      <c r="T29" s="12"/>
      <c r="U29" s="9" t="s">
        <v>49</v>
      </c>
      <c r="V29" s="46">
        <v>0.21526000000000001</v>
      </c>
      <c r="W29" s="12"/>
      <c r="X29" s="9"/>
      <c r="Y29" s="13"/>
      <c r="Z29" s="12" t="s">
        <v>49</v>
      </c>
      <c r="AA29" s="22">
        <v>0.12665999999999999</v>
      </c>
      <c r="AB29" s="13"/>
      <c r="AC29" s="12"/>
      <c r="AD29" s="9" t="s">
        <v>26</v>
      </c>
      <c r="AE29" s="13"/>
      <c r="AF29" s="12"/>
      <c r="AG29" s="22">
        <v>3.9083999999999999</v>
      </c>
      <c r="AH29" s="13"/>
      <c r="AI29" s="12" t="s">
        <v>26</v>
      </c>
      <c r="AJ29" s="22">
        <v>0.32652999999999999</v>
      </c>
      <c r="AK29" s="30">
        <v>0.27989999999999998</v>
      </c>
      <c r="AL29" s="12"/>
      <c r="AM29" s="9"/>
      <c r="AN29" s="9"/>
      <c r="AO29" s="12" t="s">
        <v>49</v>
      </c>
      <c r="AP29" s="22">
        <v>1.6015999999999999</v>
      </c>
      <c r="AQ29" s="25">
        <v>13.097</v>
      </c>
      <c r="AR29" s="9"/>
      <c r="AS29" s="9" t="s">
        <v>26</v>
      </c>
      <c r="AT29" s="22">
        <v>0.88478000000000001</v>
      </c>
      <c r="AU29" s="9">
        <v>0.55489999999999995</v>
      </c>
      <c r="AV29" s="25">
        <v>12.613</v>
      </c>
      <c r="AW29" s="9"/>
      <c r="AX29" s="9" t="s">
        <v>26</v>
      </c>
      <c r="AY29" s="22">
        <v>0.85224</v>
      </c>
      <c r="AZ29" s="9">
        <v>0.53039999999999998</v>
      </c>
      <c r="BA29" s="25">
        <v>7.9653</v>
      </c>
      <c r="BB29" s="9"/>
      <c r="BC29" s="9" t="s">
        <v>26</v>
      </c>
      <c r="BD29" s="22">
        <v>6.7972999999999999</v>
      </c>
      <c r="BE29" s="9">
        <v>4.1260000000000003</v>
      </c>
      <c r="BF29" s="25">
        <v>2.1141999999999999</v>
      </c>
      <c r="BG29" s="9"/>
      <c r="BH29" s="9" t="s">
        <v>26</v>
      </c>
      <c r="BI29" s="22">
        <v>0.29305999999999999</v>
      </c>
      <c r="BJ29" s="9">
        <v>0.22950000000000001</v>
      </c>
      <c r="BK29" s="25">
        <v>20.597000000000001</v>
      </c>
      <c r="BL29" s="9"/>
      <c r="BM29" s="9" t="s">
        <v>26</v>
      </c>
      <c r="BN29" s="22">
        <v>2.7583000000000002</v>
      </c>
      <c r="BO29" s="12">
        <v>2.3580000000000001</v>
      </c>
    </row>
    <row r="30" spans="1:67" ht="15" thickBot="1" x14ac:dyDescent="0.4">
      <c r="A30" s="13" t="s">
        <v>109</v>
      </c>
      <c r="B30" s="13"/>
      <c r="C30" s="13">
        <v>9118213</v>
      </c>
      <c r="D30" s="13"/>
      <c r="E30" s="25">
        <v>6.2841999999999995E-2</v>
      </c>
      <c r="F30" s="21">
        <v>44867</v>
      </c>
      <c r="G30" s="30">
        <v>0.94731481481481483</v>
      </c>
      <c r="H30" s="22">
        <v>58.664999999999999</v>
      </c>
      <c r="I30" s="9"/>
      <c r="J30" s="13" t="s">
        <v>26</v>
      </c>
      <c r="K30" s="23">
        <v>12.862</v>
      </c>
      <c r="L30" s="9">
        <v>1.9219999999999999</v>
      </c>
      <c r="M30" s="25">
        <v>47.834000000000003</v>
      </c>
      <c r="N30" s="12"/>
      <c r="O30" s="9" t="s">
        <v>26</v>
      </c>
      <c r="P30" s="25">
        <v>3.7562000000000002</v>
      </c>
      <c r="Q30" s="12">
        <v>2.6589999999999998</v>
      </c>
      <c r="R30" s="22">
        <v>0.28924</v>
      </c>
      <c r="S30" s="13"/>
      <c r="T30" s="12" t="s">
        <v>26</v>
      </c>
      <c r="U30" s="22">
        <v>0.1835</v>
      </c>
      <c r="V30" s="30">
        <v>0.20880000000000001</v>
      </c>
      <c r="W30" s="12"/>
      <c r="X30" s="9"/>
      <c r="Y30" s="13"/>
      <c r="Z30" s="12" t="s">
        <v>49</v>
      </c>
      <c r="AA30" s="22">
        <v>0.12499</v>
      </c>
      <c r="AB30" s="13"/>
      <c r="AC30" s="12"/>
      <c r="AD30" s="10" t="s">
        <v>26</v>
      </c>
      <c r="AE30" s="11"/>
      <c r="AF30" s="24"/>
      <c r="AG30" s="18">
        <v>3.306</v>
      </c>
      <c r="AH30" s="11"/>
      <c r="AI30" s="24" t="s">
        <v>26</v>
      </c>
      <c r="AJ30" s="18">
        <v>0.30891000000000002</v>
      </c>
      <c r="AK30" s="31">
        <v>0.27950000000000003</v>
      </c>
      <c r="AL30" s="19">
        <v>7.2592999999999996</v>
      </c>
      <c r="AM30" s="10"/>
      <c r="AN30" s="10" t="s">
        <v>26</v>
      </c>
      <c r="AO30" s="19">
        <v>1.8281000000000001</v>
      </c>
      <c r="AP30" s="9">
        <v>1.798</v>
      </c>
      <c r="AQ30" s="25">
        <v>11.798</v>
      </c>
      <c r="AR30" s="9"/>
      <c r="AS30" s="9" t="s">
        <v>26</v>
      </c>
      <c r="AT30" s="22">
        <v>0.83847000000000005</v>
      </c>
      <c r="AU30" s="9">
        <v>0.52880000000000005</v>
      </c>
      <c r="AV30" s="25">
        <v>10.821999999999999</v>
      </c>
      <c r="AW30" s="9"/>
      <c r="AX30" s="9" t="s">
        <v>26</v>
      </c>
      <c r="AY30" s="22">
        <v>0.73397999999999997</v>
      </c>
      <c r="AZ30" s="9">
        <v>0.47920000000000001</v>
      </c>
      <c r="BA30" s="13"/>
      <c r="BB30" s="9"/>
      <c r="BC30" s="9"/>
      <c r="BD30" s="9" t="s">
        <v>49</v>
      </c>
      <c r="BE30" s="22">
        <v>4.1928000000000001</v>
      </c>
      <c r="BF30" s="25">
        <v>1.8771</v>
      </c>
      <c r="BG30" s="9"/>
      <c r="BH30" s="9" t="s">
        <v>26</v>
      </c>
      <c r="BI30" s="22">
        <v>0.31047999999999998</v>
      </c>
      <c r="BJ30" s="9">
        <v>0.24179999999999999</v>
      </c>
      <c r="BK30" s="25">
        <v>15.417</v>
      </c>
      <c r="BL30" s="9"/>
      <c r="BM30" s="9" t="s">
        <v>26</v>
      </c>
      <c r="BN30" s="22">
        <v>2.0947</v>
      </c>
      <c r="BO30" s="12">
        <v>2.1739999999999999</v>
      </c>
    </row>
    <row r="31" spans="1:67" ht="15" thickBot="1" x14ac:dyDescent="0.4">
      <c r="A31" s="13" t="s">
        <v>110</v>
      </c>
      <c r="B31" s="13"/>
      <c r="C31" s="13">
        <v>9118213</v>
      </c>
      <c r="D31" s="13"/>
      <c r="E31" s="25">
        <v>6.0864000000000001E-2</v>
      </c>
      <c r="F31" s="21">
        <v>44868</v>
      </c>
      <c r="G31" s="30">
        <v>1.0023032407407408</v>
      </c>
      <c r="H31" s="22">
        <v>55.323</v>
      </c>
      <c r="I31" s="9"/>
      <c r="J31" s="13" t="s">
        <v>26</v>
      </c>
      <c r="K31" s="23">
        <v>12.111000000000001</v>
      </c>
      <c r="L31" s="9">
        <v>1.8819999999999999</v>
      </c>
      <c r="M31" s="25">
        <v>49.790999999999997</v>
      </c>
      <c r="N31" s="12"/>
      <c r="O31" s="9" t="s">
        <v>26</v>
      </c>
      <c r="P31" s="25">
        <v>2.7669000000000001</v>
      </c>
      <c r="Q31" s="12">
        <v>2.0950000000000002</v>
      </c>
      <c r="R31" s="9"/>
      <c r="S31" s="13"/>
      <c r="T31" s="12"/>
      <c r="U31" s="9" t="s">
        <v>49</v>
      </c>
      <c r="V31" s="46">
        <v>0.16927</v>
      </c>
      <c r="W31" s="12"/>
      <c r="X31" s="9"/>
      <c r="Y31" s="13"/>
      <c r="Z31" s="12" t="s">
        <v>49</v>
      </c>
      <c r="AA31" s="22">
        <v>0.11364</v>
      </c>
      <c r="AB31" s="13"/>
      <c r="AC31" s="12"/>
      <c r="AD31" s="15" t="s">
        <v>26</v>
      </c>
      <c r="AE31" s="14"/>
      <c r="AF31" s="27"/>
      <c r="AG31" s="16">
        <v>3.2427000000000001</v>
      </c>
      <c r="AH31" s="14"/>
      <c r="AI31" s="27" t="s">
        <v>26</v>
      </c>
      <c r="AJ31" s="16">
        <v>0.30329</v>
      </c>
      <c r="AK31" s="42">
        <v>0.27479999999999999</v>
      </c>
      <c r="AL31" s="17">
        <v>5.9683999999999999</v>
      </c>
      <c r="AM31" s="15"/>
      <c r="AN31" s="15" t="s">
        <v>26</v>
      </c>
      <c r="AO31" s="17">
        <v>2.8969999999999998</v>
      </c>
      <c r="AP31" s="9">
        <v>2.5550000000000002</v>
      </c>
      <c r="AQ31" s="25">
        <v>10.76</v>
      </c>
      <c r="AR31" s="9"/>
      <c r="AS31" s="9" t="s">
        <v>26</v>
      </c>
      <c r="AT31" s="22">
        <v>0.66801999999999995</v>
      </c>
      <c r="AU31" s="9">
        <v>0.42870000000000003</v>
      </c>
      <c r="AV31" s="25">
        <v>8.7678999999999991</v>
      </c>
      <c r="AW31" s="9"/>
      <c r="AX31" s="9" t="s">
        <v>26</v>
      </c>
      <c r="AY31" s="22">
        <v>0.59606999999999999</v>
      </c>
      <c r="AZ31" s="9">
        <v>0.41389999999999999</v>
      </c>
      <c r="BA31" s="25">
        <v>5.1875999999999998</v>
      </c>
      <c r="BB31" s="9"/>
      <c r="BC31" s="9" t="s">
        <v>26</v>
      </c>
      <c r="BD31" s="22">
        <v>4.407</v>
      </c>
      <c r="BE31" s="9">
        <v>3.6850000000000001</v>
      </c>
      <c r="BF31" s="25">
        <v>1.7807999999999999</v>
      </c>
      <c r="BG31" s="9"/>
      <c r="BH31" s="9" t="s">
        <v>26</v>
      </c>
      <c r="BI31" s="22">
        <v>0.31237999999999999</v>
      </c>
      <c r="BJ31" s="9">
        <v>0.24759999999999999</v>
      </c>
      <c r="BK31" s="25">
        <v>13.02</v>
      </c>
      <c r="BL31" s="9"/>
      <c r="BM31" s="9" t="s">
        <v>26</v>
      </c>
      <c r="BN31" s="22">
        <v>2.7368000000000001</v>
      </c>
      <c r="BO31" s="12">
        <v>2.3879999999999999</v>
      </c>
    </row>
    <row r="32" spans="1:67" ht="15" thickBot="1" x14ac:dyDescent="0.4">
      <c r="A32" s="13" t="s">
        <v>111</v>
      </c>
      <c r="B32" s="13"/>
      <c r="C32" s="13">
        <v>9118213</v>
      </c>
      <c r="D32" s="13"/>
      <c r="E32" s="25">
        <v>5.7153000000000002E-2</v>
      </c>
      <c r="F32" s="21">
        <v>44869</v>
      </c>
      <c r="G32" s="30">
        <v>2.6674189814814819</v>
      </c>
      <c r="H32" s="22">
        <v>51.728000000000002</v>
      </c>
      <c r="I32" s="9"/>
      <c r="J32" s="13" t="s">
        <v>26</v>
      </c>
      <c r="K32" s="23">
        <v>11.163</v>
      </c>
      <c r="L32" s="9">
        <v>1.3360000000000001</v>
      </c>
      <c r="M32" s="25">
        <v>35.899000000000001</v>
      </c>
      <c r="N32" s="12"/>
      <c r="O32" s="9" t="s">
        <v>26</v>
      </c>
      <c r="P32" s="25">
        <v>1.9652000000000001</v>
      </c>
      <c r="Q32" s="12">
        <v>1.409</v>
      </c>
      <c r="R32" s="22">
        <v>0.29120000000000001</v>
      </c>
      <c r="S32" s="13"/>
      <c r="T32" s="12" t="s">
        <v>26</v>
      </c>
      <c r="U32" s="22">
        <v>0.11302</v>
      </c>
      <c r="V32" s="30">
        <v>0.12839999999999999</v>
      </c>
      <c r="W32" s="23">
        <v>0.16053000000000001</v>
      </c>
      <c r="X32" s="9"/>
      <c r="Y32" s="13" t="s">
        <v>26</v>
      </c>
      <c r="Z32" s="23">
        <v>0.1133</v>
      </c>
      <c r="AA32" s="9">
        <v>0.1167</v>
      </c>
      <c r="AB32" s="13"/>
      <c r="AC32" s="12"/>
      <c r="AD32" s="37" t="s">
        <v>26</v>
      </c>
      <c r="AE32" s="35"/>
      <c r="AF32" s="43"/>
      <c r="AG32" s="36">
        <v>2.6854</v>
      </c>
      <c r="AH32" s="35"/>
      <c r="AI32" s="43" t="s">
        <v>26</v>
      </c>
      <c r="AJ32" s="36">
        <v>0.20383000000000001</v>
      </c>
      <c r="AK32" s="47">
        <v>0.1779</v>
      </c>
      <c r="AL32" s="48">
        <v>8.3506999999999998</v>
      </c>
      <c r="AM32" s="37"/>
      <c r="AN32" s="37" t="s">
        <v>26</v>
      </c>
      <c r="AO32" s="48">
        <v>1.9492</v>
      </c>
      <c r="AP32" s="9">
        <v>1.643</v>
      </c>
      <c r="AQ32" s="25">
        <v>9.2402999999999995</v>
      </c>
      <c r="AR32" s="9"/>
      <c r="AS32" s="9" t="s">
        <v>26</v>
      </c>
      <c r="AT32" s="22">
        <v>0.47006999999999999</v>
      </c>
      <c r="AU32" s="9">
        <v>0.29149999999999998</v>
      </c>
      <c r="AV32" s="25">
        <v>8.2889999999999997</v>
      </c>
      <c r="AW32" s="9"/>
      <c r="AX32" s="9" t="s">
        <v>26</v>
      </c>
      <c r="AY32" s="22">
        <v>0.45866000000000001</v>
      </c>
      <c r="AZ32" s="9">
        <v>0.29809999999999998</v>
      </c>
      <c r="BA32" s="25">
        <v>7.3220999999999998</v>
      </c>
      <c r="BB32" s="9"/>
      <c r="BC32" s="9" t="s">
        <v>26</v>
      </c>
      <c r="BD32" s="22">
        <v>4.0220000000000002</v>
      </c>
      <c r="BE32" s="9">
        <v>2.4260000000000002</v>
      </c>
      <c r="BF32" s="25">
        <v>1.4491000000000001</v>
      </c>
      <c r="BG32" s="9"/>
      <c r="BH32" s="9" t="s">
        <v>26</v>
      </c>
      <c r="BI32" s="22">
        <v>0.21159</v>
      </c>
      <c r="BJ32" s="9">
        <v>0.16370000000000001</v>
      </c>
      <c r="BK32" s="25">
        <v>17.484999999999999</v>
      </c>
      <c r="BL32" s="9"/>
      <c r="BM32" s="9" t="s">
        <v>26</v>
      </c>
      <c r="BN32" s="22">
        <v>1.3451</v>
      </c>
      <c r="BO32" s="12">
        <v>1.296</v>
      </c>
    </row>
    <row r="33" spans="1:67" ht="15" thickBot="1" x14ac:dyDescent="0.4">
      <c r="A33" s="13" t="s">
        <v>112</v>
      </c>
      <c r="B33" s="13"/>
      <c r="C33" s="13">
        <v>9118213</v>
      </c>
      <c r="D33" s="13"/>
      <c r="E33" s="25">
        <v>5.9539000000000002E-2</v>
      </c>
      <c r="F33" s="21">
        <v>44872</v>
      </c>
      <c r="G33" s="31">
        <v>0.98107638888888893</v>
      </c>
      <c r="H33" s="18">
        <v>55.265000000000001</v>
      </c>
      <c r="I33" s="10"/>
      <c r="J33" s="11" t="s">
        <v>26</v>
      </c>
      <c r="K33" s="19">
        <v>12.238</v>
      </c>
      <c r="L33" s="10">
        <v>2.2210000000000001</v>
      </c>
      <c r="M33" s="26">
        <v>32.450000000000003</v>
      </c>
      <c r="N33" s="24"/>
      <c r="O33" s="10" t="s">
        <v>26</v>
      </c>
      <c r="P33" s="26">
        <v>2.7263000000000002</v>
      </c>
      <c r="Q33" s="24">
        <v>2.2269999999999999</v>
      </c>
      <c r="R33" s="18">
        <v>0.41424</v>
      </c>
      <c r="S33" s="11"/>
      <c r="T33" s="24" t="s">
        <v>26</v>
      </c>
      <c r="U33" s="18">
        <v>0.18951999999999999</v>
      </c>
      <c r="V33" s="31">
        <v>0.21390000000000001</v>
      </c>
      <c r="W33" s="24"/>
      <c r="X33" s="10"/>
      <c r="Y33" s="11"/>
      <c r="Z33" s="24" t="s">
        <v>49</v>
      </c>
      <c r="AA33" s="18">
        <v>0.12364</v>
      </c>
      <c r="AB33" s="11"/>
      <c r="AC33" s="24"/>
      <c r="AD33" s="9" t="s">
        <v>26</v>
      </c>
      <c r="AE33" s="13"/>
      <c r="AF33" s="12"/>
      <c r="AG33" s="22">
        <v>3.2136</v>
      </c>
      <c r="AH33" s="13"/>
      <c r="AI33" s="12" t="s">
        <v>26</v>
      </c>
      <c r="AJ33" s="22">
        <v>0.31129000000000001</v>
      </c>
      <c r="AK33" s="30">
        <v>0.2858</v>
      </c>
      <c r="AL33" s="12"/>
      <c r="AM33" s="9"/>
      <c r="AN33" s="9"/>
      <c r="AO33" s="12" t="s">
        <v>49</v>
      </c>
      <c r="AP33" s="22">
        <v>1.4764999999999999</v>
      </c>
      <c r="AQ33" s="25">
        <v>10.371</v>
      </c>
      <c r="AR33" s="9"/>
      <c r="AS33" s="9" t="s">
        <v>26</v>
      </c>
      <c r="AT33" s="22">
        <v>0.76183999999999996</v>
      </c>
      <c r="AU33" s="9">
        <v>0.50600000000000001</v>
      </c>
      <c r="AV33" s="25">
        <v>9.5934000000000008</v>
      </c>
      <c r="AW33" s="9"/>
      <c r="AX33" s="9" t="s">
        <v>26</v>
      </c>
      <c r="AY33" s="22">
        <v>0.69508000000000003</v>
      </c>
      <c r="AZ33" s="9">
        <v>0.46829999999999999</v>
      </c>
      <c r="BA33" s="13"/>
      <c r="BB33" s="9"/>
      <c r="BC33" s="9"/>
      <c r="BD33" s="9" t="s">
        <v>49</v>
      </c>
      <c r="BE33" s="22">
        <v>4.0153999999999996</v>
      </c>
      <c r="BF33" s="25">
        <v>1.2698</v>
      </c>
      <c r="BG33" s="9"/>
      <c r="BH33" s="9" t="s">
        <v>26</v>
      </c>
      <c r="BI33" s="22">
        <v>0.24551000000000001</v>
      </c>
      <c r="BJ33" s="9">
        <v>0.2127</v>
      </c>
      <c r="BK33" s="25">
        <v>14.885999999999999</v>
      </c>
      <c r="BL33" s="9"/>
      <c r="BM33" s="9" t="s">
        <v>26</v>
      </c>
      <c r="BN33" s="22">
        <v>2.0790999999999999</v>
      </c>
      <c r="BO33" s="12">
        <v>2.161</v>
      </c>
    </row>
    <row r="34" spans="1:67" ht="15" thickBot="1" x14ac:dyDescent="0.4">
      <c r="A34" s="13" t="s">
        <v>113</v>
      </c>
      <c r="B34" s="13"/>
      <c r="C34" s="13">
        <v>9118213</v>
      </c>
      <c r="D34" s="13"/>
      <c r="E34" s="25">
        <v>5.7333000000000002E-2</v>
      </c>
      <c r="F34" s="21">
        <v>44874</v>
      </c>
      <c r="G34" s="42">
        <v>0.88771990740740747</v>
      </c>
      <c r="H34" s="16">
        <v>68.007000000000005</v>
      </c>
      <c r="I34" s="15"/>
      <c r="J34" s="14" t="s">
        <v>26</v>
      </c>
      <c r="K34" s="17">
        <v>15</v>
      </c>
      <c r="L34" s="15">
        <v>2.5379999999999998</v>
      </c>
      <c r="M34" s="28">
        <v>61.798000000000002</v>
      </c>
      <c r="N34" s="27"/>
      <c r="O34" s="15" t="s">
        <v>26</v>
      </c>
      <c r="P34" s="28">
        <v>4.3228</v>
      </c>
      <c r="Q34" s="27">
        <v>2.9870000000000001</v>
      </c>
      <c r="R34" s="15"/>
      <c r="S34" s="14"/>
      <c r="T34" s="27"/>
      <c r="U34" s="15" t="s">
        <v>49</v>
      </c>
      <c r="V34" s="44">
        <v>0.27021000000000001</v>
      </c>
      <c r="W34" s="27"/>
      <c r="X34" s="15"/>
      <c r="Y34" s="14"/>
      <c r="Z34" s="27" t="s">
        <v>49</v>
      </c>
      <c r="AA34" s="16">
        <v>0.13538</v>
      </c>
      <c r="AB34" s="14"/>
      <c r="AC34" s="27"/>
      <c r="AD34" s="9" t="s">
        <v>26</v>
      </c>
      <c r="AE34" s="13"/>
      <c r="AF34" s="12"/>
      <c r="AG34" s="22">
        <v>3.7321</v>
      </c>
      <c r="AH34" s="13"/>
      <c r="AI34" s="12" t="s">
        <v>26</v>
      </c>
      <c r="AJ34" s="22">
        <v>0.34284999999999999</v>
      </c>
      <c r="AK34" s="30">
        <v>0.30470000000000003</v>
      </c>
      <c r="AL34" s="12"/>
      <c r="AM34" s="9"/>
      <c r="AN34" s="9"/>
      <c r="AO34" s="12" t="s">
        <v>49</v>
      </c>
      <c r="AP34" s="22">
        <v>1.6087</v>
      </c>
      <c r="AQ34" s="25">
        <v>9.8544</v>
      </c>
      <c r="AR34" s="9"/>
      <c r="AS34" s="9" t="s">
        <v>26</v>
      </c>
      <c r="AT34" s="22">
        <v>0.62514999999999998</v>
      </c>
      <c r="AU34" s="9">
        <v>0.45100000000000001</v>
      </c>
      <c r="AV34" s="25">
        <v>9.6491000000000007</v>
      </c>
      <c r="AW34" s="9"/>
      <c r="AX34" s="9" t="s">
        <v>26</v>
      </c>
      <c r="AY34" s="22">
        <v>0.78776999999999997</v>
      </c>
      <c r="AZ34" s="9">
        <v>0.5373</v>
      </c>
      <c r="BA34" s="13"/>
      <c r="BB34" s="9"/>
      <c r="BC34" s="9"/>
      <c r="BD34" s="9" t="s">
        <v>49</v>
      </c>
      <c r="BE34" s="22">
        <v>4.1346999999999996</v>
      </c>
      <c r="BF34" s="25">
        <v>1.9827999999999999</v>
      </c>
      <c r="BG34" s="9"/>
      <c r="BH34" s="9" t="s">
        <v>26</v>
      </c>
      <c r="BI34" s="22">
        <v>0.29704000000000003</v>
      </c>
      <c r="BJ34" s="9">
        <v>0.23980000000000001</v>
      </c>
      <c r="BK34" s="25">
        <v>20.082999999999998</v>
      </c>
      <c r="BL34" s="9"/>
      <c r="BM34" s="9" t="s">
        <v>26</v>
      </c>
      <c r="BN34" s="22">
        <v>3.2673000000000001</v>
      </c>
      <c r="BO34" s="12">
        <v>2.734</v>
      </c>
    </row>
    <row r="35" spans="1:67" ht="15" thickBot="1" x14ac:dyDescent="0.4">
      <c r="A35" s="13" t="s">
        <v>114</v>
      </c>
      <c r="B35" s="13"/>
      <c r="C35" s="13">
        <v>9118213</v>
      </c>
      <c r="D35" s="13"/>
      <c r="E35" s="25">
        <v>5.7997E-2</v>
      </c>
      <c r="F35" s="21">
        <v>44874</v>
      </c>
      <c r="G35" s="47">
        <v>1.0316666666666665</v>
      </c>
      <c r="H35" s="37"/>
      <c r="I35" s="37"/>
      <c r="J35" s="35"/>
      <c r="K35" s="43" t="s">
        <v>49</v>
      </c>
      <c r="L35" s="36">
        <v>4.3682999999999996</v>
      </c>
      <c r="M35" s="38">
        <v>26.317</v>
      </c>
      <c r="N35" s="43"/>
      <c r="O35" s="37" t="s">
        <v>26</v>
      </c>
      <c r="P35" s="38">
        <v>2.4733000000000001</v>
      </c>
      <c r="Q35" s="43">
        <v>2.0680000000000001</v>
      </c>
      <c r="R35" s="37"/>
      <c r="S35" s="35"/>
      <c r="T35" s="43"/>
      <c r="U35" s="37" t="s">
        <v>49</v>
      </c>
      <c r="V35" s="49">
        <v>0.20960000000000001</v>
      </c>
      <c r="W35" s="43"/>
      <c r="X35" s="37"/>
      <c r="Y35" s="35"/>
      <c r="Z35" s="43" t="s">
        <v>49</v>
      </c>
      <c r="AA35" s="36">
        <v>0.12037</v>
      </c>
      <c r="AB35" s="35"/>
      <c r="AC35" s="43"/>
      <c r="AD35" s="9" t="s">
        <v>26</v>
      </c>
      <c r="AE35" s="13"/>
      <c r="AF35" s="12"/>
      <c r="AG35" s="22">
        <v>4.2690999999999999</v>
      </c>
      <c r="AH35" s="13"/>
      <c r="AI35" s="12" t="s">
        <v>26</v>
      </c>
      <c r="AJ35" s="22">
        <v>0.33955000000000002</v>
      </c>
      <c r="AK35" s="30">
        <v>0.2848</v>
      </c>
      <c r="AL35" s="23">
        <v>2.8313000000000001</v>
      </c>
      <c r="AM35" s="9"/>
      <c r="AN35" s="9" t="s">
        <v>26</v>
      </c>
      <c r="AO35" s="23">
        <v>1.6673</v>
      </c>
      <c r="AP35" s="10">
        <v>1.794</v>
      </c>
      <c r="AQ35" s="26">
        <v>9.3047000000000004</v>
      </c>
      <c r="AR35" s="10"/>
      <c r="AS35" s="10" t="s">
        <v>26</v>
      </c>
      <c r="AT35" s="18">
        <v>0.76034999999999997</v>
      </c>
      <c r="AU35" s="10">
        <v>0.52680000000000005</v>
      </c>
      <c r="AV35" s="26">
        <v>8.8321000000000005</v>
      </c>
      <c r="AW35" s="10"/>
      <c r="AX35" s="10" t="s">
        <v>26</v>
      </c>
      <c r="AY35" s="18">
        <v>0.66823999999999995</v>
      </c>
      <c r="AZ35" s="10">
        <v>0.46010000000000001</v>
      </c>
      <c r="BA35" s="11"/>
      <c r="BB35" s="10"/>
      <c r="BC35" s="10"/>
      <c r="BD35" s="10" t="s">
        <v>49</v>
      </c>
      <c r="BE35" s="18">
        <v>3.5209999999999999</v>
      </c>
      <c r="BF35" s="26">
        <v>2.1865999999999999</v>
      </c>
      <c r="BG35" s="10"/>
      <c r="BH35" s="10" t="s">
        <v>26</v>
      </c>
      <c r="BI35" s="18">
        <v>0.31716</v>
      </c>
      <c r="BJ35" s="10">
        <v>0.24490000000000001</v>
      </c>
      <c r="BK35" s="26">
        <v>12.717000000000001</v>
      </c>
      <c r="BL35" s="10"/>
      <c r="BM35" s="10" t="s">
        <v>26</v>
      </c>
      <c r="BN35" s="18">
        <v>2.5657999999999999</v>
      </c>
      <c r="BO35" s="24">
        <v>2.302</v>
      </c>
    </row>
    <row r="36" spans="1:67" ht="15" thickBot="1" x14ac:dyDescent="0.4">
      <c r="A36" s="10" t="s">
        <v>115</v>
      </c>
      <c r="B36" s="10"/>
      <c r="C36" s="11">
        <v>9118213</v>
      </c>
      <c r="D36" s="11"/>
      <c r="E36" s="26">
        <v>5.9336E-2</v>
      </c>
      <c r="F36" s="20">
        <v>44875</v>
      </c>
      <c r="G36" s="30">
        <v>1.0690162037037039</v>
      </c>
      <c r="H36" s="9"/>
      <c r="I36" s="9"/>
      <c r="J36" s="13"/>
      <c r="K36" s="12" t="s">
        <v>49</v>
      </c>
      <c r="L36" s="22">
        <v>4.2625999999999999</v>
      </c>
      <c r="M36" s="25">
        <v>35.741</v>
      </c>
      <c r="N36" s="12"/>
      <c r="O36" s="9" t="s">
        <v>26</v>
      </c>
      <c r="P36" s="25">
        <v>3.5644</v>
      </c>
      <c r="Q36" s="12">
        <v>2.6779999999999999</v>
      </c>
      <c r="R36" s="9"/>
      <c r="S36" s="13"/>
      <c r="T36" s="12"/>
      <c r="U36" s="9" t="s">
        <v>49</v>
      </c>
      <c r="V36" s="46">
        <v>0.21671000000000001</v>
      </c>
      <c r="W36" s="12"/>
      <c r="X36" s="9"/>
      <c r="Y36" s="13"/>
      <c r="Z36" s="12" t="s">
        <v>49</v>
      </c>
      <c r="AA36" s="22">
        <v>0.12241</v>
      </c>
      <c r="AB36" s="13"/>
      <c r="AC36" s="12"/>
      <c r="AD36" s="9" t="s">
        <v>26</v>
      </c>
      <c r="AE36" s="13"/>
      <c r="AF36" s="12"/>
      <c r="AG36" s="22">
        <v>3.7065999999999999</v>
      </c>
      <c r="AH36" s="13"/>
      <c r="AI36" s="12" t="s">
        <v>26</v>
      </c>
      <c r="AJ36" s="22">
        <v>0.31707999999999997</v>
      </c>
      <c r="AK36" s="30">
        <v>0.27810000000000001</v>
      </c>
      <c r="AL36" s="12"/>
      <c r="AM36" s="9"/>
      <c r="AN36" s="9"/>
      <c r="AO36" s="12" t="s">
        <v>49</v>
      </c>
      <c r="AP36" s="16">
        <v>1.4291</v>
      </c>
      <c r="AQ36" s="28">
        <v>10.289</v>
      </c>
      <c r="AR36" s="15"/>
      <c r="AS36" s="15" t="s">
        <v>26</v>
      </c>
      <c r="AT36" s="16">
        <v>0.68859999999999999</v>
      </c>
      <c r="AU36" s="15">
        <v>0.4531</v>
      </c>
      <c r="AV36" s="28">
        <v>8.6821999999999999</v>
      </c>
      <c r="AW36" s="15"/>
      <c r="AX36" s="15" t="s">
        <v>26</v>
      </c>
      <c r="AY36" s="16">
        <v>0.61926000000000003</v>
      </c>
      <c r="AZ36" s="15">
        <v>0.435</v>
      </c>
      <c r="BA36" s="14"/>
      <c r="BB36" s="15"/>
      <c r="BC36" s="15"/>
      <c r="BD36" s="15" t="s">
        <v>49</v>
      </c>
      <c r="BE36" s="16">
        <v>3.6362999999999999</v>
      </c>
      <c r="BF36" s="28">
        <v>1.8703000000000001</v>
      </c>
      <c r="BG36" s="15"/>
      <c r="BH36" s="15" t="s">
        <v>26</v>
      </c>
      <c r="BI36" s="16">
        <v>0.29009000000000001</v>
      </c>
      <c r="BJ36" s="15">
        <v>0.22770000000000001</v>
      </c>
      <c r="BK36" s="28">
        <v>17.975000000000001</v>
      </c>
      <c r="BL36" s="15"/>
      <c r="BM36" s="15" t="s">
        <v>26</v>
      </c>
      <c r="BN36" s="16">
        <v>2.6493000000000002</v>
      </c>
      <c r="BO36" s="27">
        <v>2.2959999999999998</v>
      </c>
    </row>
    <row r="37" spans="1:67" ht="15" thickBot="1" x14ac:dyDescent="0.4">
      <c r="G37" s="11"/>
      <c r="H37" s="10"/>
      <c r="I37" s="10"/>
      <c r="J37" s="11"/>
      <c r="K37" s="24"/>
      <c r="L37" s="10"/>
      <c r="M37" s="11"/>
      <c r="N37" s="24"/>
      <c r="O37" s="10"/>
      <c r="P37" s="11"/>
      <c r="Q37" s="24"/>
      <c r="R37" s="10"/>
      <c r="S37" s="11"/>
      <c r="T37" s="24"/>
      <c r="U37" s="10"/>
      <c r="V37" s="11"/>
      <c r="W37" s="24"/>
      <c r="X37" s="10"/>
      <c r="Y37" s="11"/>
      <c r="Z37" s="24"/>
      <c r="AA37" s="10"/>
      <c r="AB37" s="11"/>
      <c r="AC37" s="24"/>
      <c r="AD37" s="10"/>
      <c r="AE37" s="11"/>
      <c r="AF37" s="24"/>
      <c r="AG37" s="10"/>
      <c r="AH37" s="11"/>
      <c r="AI37" s="24"/>
      <c r="AJ37" s="10"/>
      <c r="AK37" s="11"/>
      <c r="AL37" s="24"/>
      <c r="AM37" s="10"/>
      <c r="AN37" s="10"/>
      <c r="AO37" s="24"/>
    </row>
    <row r="38" spans="1:67" ht="15" thickBot="1" x14ac:dyDescent="0.4">
      <c r="G38" s="42"/>
      <c r="H38" s="15" t="s">
        <v>18</v>
      </c>
      <c r="I38" s="15" t="s">
        <v>24</v>
      </c>
      <c r="J38" s="14"/>
      <c r="K38" s="27"/>
      <c r="L38" s="15"/>
      <c r="M38" s="14" t="s">
        <v>1</v>
      </c>
      <c r="N38" s="27" t="s">
        <v>23</v>
      </c>
      <c r="O38" s="15"/>
      <c r="P38" s="14"/>
      <c r="Q38" s="27"/>
      <c r="R38" s="15" t="s">
        <v>2</v>
      </c>
      <c r="S38" s="14" t="s">
        <v>41</v>
      </c>
      <c r="T38" s="27"/>
      <c r="U38" s="15"/>
      <c r="V38" s="42"/>
      <c r="W38" s="27" t="s">
        <v>7</v>
      </c>
      <c r="X38" s="15" t="s">
        <v>50</v>
      </c>
      <c r="Y38" s="14"/>
      <c r="Z38" s="27"/>
      <c r="AA38" s="15"/>
      <c r="AB38" s="14" t="s">
        <v>16</v>
      </c>
      <c r="AC38" s="27" t="s">
        <v>51</v>
      </c>
      <c r="AD38" s="15"/>
      <c r="AE38" s="14"/>
      <c r="AF38" s="27"/>
      <c r="AG38" s="15" t="s">
        <v>17</v>
      </c>
      <c r="AH38" s="14" t="s">
        <v>52</v>
      </c>
      <c r="AI38" s="27"/>
      <c r="AJ38" s="15"/>
      <c r="AK38" s="14"/>
      <c r="AL38" s="42" t="s">
        <v>19</v>
      </c>
      <c r="AM38" s="15" t="s">
        <v>53</v>
      </c>
      <c r="AN38" s="15"/>
      <c r="AO38" s="27"/>
      <c r="AP38" s="9"/>
      <c r="AQ38" s="13" t="s">
        <v>21</v>
      </c>
      <c r="AR38" s="9" t="s">
        <v>54</v>
      </c>
      <c r="AS38" s="9"/>
      <c r="AT38" s="9"/>
      <c r="AU38" s="9"/>
      <c r="AV38" s="13" t="s">
        <v>56</v>
      </c>
      <c r="AW38" s="9" t="s">
        <v>57</v>
      </c>
      <c r="AX38" s="9"/>
      <c r="AY38" s="9"/>
      <c r="AZ38" s="9"/>
      <c r="BA38" s="13" t="s">
        <v>60</v>
      </c>
      <c r="BB38" s="9" t="s">
        <v>61</v>
      </c>
      <c r="BC38" s="9"/>
      <c r="BD38" s="9"/>
      <c r="BE38" s="9"/>
      <c r="BF38" s="13" t="s">
        <v>62</v>
      </c>
      <c r="BG38" s="9" t="s">
        <v>63</v>
      </c>
      <c r="BH38" s="9"/>
      <c r="BI38" s="9"/>
      <c r="BJ38" s="12"/>
    </row>
    <row r="39" spans="1:67" ht="15" thickBot="1" x14ac:dyDescent="0.4">
      <c r="A39" s="13" t="s">
        <v>30</v>
      </c>
      <c r="B39" s="13"/>
      <c r="C39" s="13" t="s">
        <v>29</v>
      </c>
      <c r="D39" s="13" t="s">
        <v>31</v>
      </c>
      <c r="E39" s="13" t="s">
        <v>27</v>
      </c>
      <c r="F39" s="13" t="s">
        <v>25</v>
      </c>
      <c r="G39" s="47" t="s">
        <v>28</v>
      </c>
      <c r="H39" s="37" t="s">
        <v>33</v>
      </c>
      <c r="I39" s="37" t="s">
        <v>34</v>
      </c>
      <c r="J39" s="35"/>
      <c r="K39" s="43" t="s">
        <v>35</v>
      </c>
      <c r="L39" s="37" t="s">
        <v>36</v>
      </c>
      <c r="M39" s="35" t="s">
        <v>33</v>
      </c>
      <c r="N39" s="43" t="s">
        <v>34</v>
      </c>
      <c r="O39" s="37"/>
      <c r="P39" s="35" t="s">
        <v>35</v>
      </c>
      <c r="Q39" s="43" t="s">
        <v>36</v>
      </c>
      <c r="R39" s="37" t="s">
        <v>33</v>
      </c>
      <c r="S39" s="35" t="s">
        <v>34</v>
      </c>
      <c r="T39" s="43"/>
      <c r="U39" s="37" t="s">
        <v>35</v>
      </c>
      <c r="V39" s="47" t="s">
        <v>36</v>
      </c>
      <c r="W39" s="43" t="s">
        <v>33</v>
      </c>
      <c r="X39" s="37" t="s">
        <v>34</v>
      </c>
      <c r="Y39" s="35"/>
      <c r="Z39" s="43" t="s">
        <v>35</v>
      </c>
      <c r="AA39" s="37" t="s">
        <v>36</v>
      </c>
      <c r="AB39" s="35" t="s">
        <v>33</v>
      </c>
      <c r="AC39" s="43" t="s">
        <v>34</v>
      </c>
      <c r="AD39" s="37"/>
      <c r="AE39" s="37" t="s">
        <v>35</v>
      </c>
      <c r="AF39" s="37" t="s">
        <v>36</v>
      </c>
      <c r="AG39" s="35" t="s">
        <v>33</v>
      </c>
      <c r="AH39" s="37" t="s">
        <v>34</v>
      </c>
      <c r="AI39" s="37"/>
      <c r="AJ39" s="37" t="s">
        <v>35</v>
      </c>
      <c r="AK39" s="37" t="s">
        <v>36</v>
      </c>
      <c r="AL39" s="35" t="s">
        <v>33</v>
      </c>
      <c r="AM39" s="37" t="s">
        <v>34</v>
      </c>
      <c r="AN39" s="37"/>
      <c r="AO39" s="37" t="s">
        <v>35</v>
      </c>
      <c r="AP39" s="9" t="s">
        <v>36</v>
      </c>
      <c r="AQ39" s="13" t="s">
        <v>33</v>
      </c>
      <c r="AR39" s="9" t="s">
        <v>34</v>
      </c>
      <c r="AS39" s="9"/>
      <c r="AT39" s="9" t="s">
        <v>35</v>
      </c>
      <c r="AU39" s="9" t="s">
        <v>36</v>
      </c>
      <c r="AV39" s="13" t="s">
        <v>33</v>
      </c>
      <c r="AW39" s="9" t="s">
        <v>34</v>
      </c>
      <c r="AX39" s="9"/>
      <c r="AY39" s="9" t="s">
        <v>35</v>
      </c>
      <c r="AZ39" s="9" t="s">
        <v>36</v>
      </c>
      <c r="BA39" s="13" t="s">
        <v>33</v>
      </c>
      <c r="BB39" s="9" t="s">
        <v>34</v>
      </c>
      <c r="BC39" s="9"/>
      <c r="BD39" s="9" t="s">
        <v>35</v>
      </c>
      <c r="BE39" s="9" t="s">
        <v>36</v>
      </c>
      <c r="BF39" s="13" t="s">
        <v>33</v>
      </c>
      <c r="BG39" s="9" t="s">
        <v>34</v>
      </c>
      <c r="BH39" s="9"/>
      <c r="BI39" s="9" t="s">
        <v>35</v>
      </c>
      <c r="BJ39" s="12" t="s">
        <v>36</v>
      </c>
    </row>
    <row r="40" spans="1:67" ht="15" thickBot="1" x14ac:dyDescent="0.4">
      <c r="A40" s="13" t="s">
        <v>75</v>
      </c>
      <c r="B40" s="13"/>
      <c r="C40" s="13" t="s">
        <v>42</v>
      </c>
      <c r="D40" s="13" t="s">
        <v>76</v>
      </c>
      <c r="E40" s="13">
        <v>6.6289000000000001E-2</v>
      </c>
      <c r="F40" s="21">
        <v>44831</v>
      </c>
      <c r="G40" s="30">
        <v>1.8443865740740739</v>
      </c>
      <c r="H40" s="9"/>
      <c r="I40" s="22">
        <v>65.159000000000006</v>
      </c>
      <c r="J40" s="13" t="s">
        <v>26</v>
      </c>
      <c r="K40" s="23">
        <v>5.8920000000000003</v>
      </c>
      <c r="L40" s="22">
        <v>7.8173199999999996</v>
      </c>
      <c r="M40" s="13"/>
      <c r="N40" s="23">
        <v>22.728000000000002</v>
      </c>
      <c r="O40" s="9" t="s">
        <v>26</v>
      </c>
      <c r="P40" s="25">
        <v>1.3674999999999999</v>
      </c>
      <c r="Q40" s="23">
        <v>8.6030599999999993</v>
      </c>
      <c r="R40" s="9"/>
      <c r="S40" s="13"/>
      <c r="T40" s="12" t="s">
        <v>26</v>
      </c>
      <c r="U40" s="9"/>
      <c r="V40" s="46">
        <v>0.49391499999999999</v>
      </c>
      <c r="W40" s="12"/>
      <c r="X40" s="22">
        <v>3.1958000000000002</v>
      </c>
      <c r="Y40" s="13" t="s">
        <v>26</v>
      </c>
      <c r="Z40" s="23">
        <v>0.27961999999999998</v>
      </c>
      <c r="AA40" s="22">
        <v>1.6229899999999999</v>
      </c>
      <c r="AB40" s="13"/>
      <c r="AC40" s="23">
        <v>3.7605</v>
      </c>
      <c r="AD40" s="9" t="s">
        <v>26</v>
      </c>
      <c r="AE40" s="22">
        <v>0.48444999999999999</v>
      </c>
      <c r="AF40" s="22">
        <v>0.554122</v>
      </c>
      <c r="AG40" s="13"/>
      <c r="AH40" s="9"/>
      <c r="AI40" s="9" t="s">
        <v>26</v>
      </c>
      <c r="AJ40" s="9"/>
      <c r="AK40" s="22">
        <v>6.6129600000000002</v>
      </c>
      <c r="AL40" s="13"/>
      <c r="AM40" s="22">
        <v>5.6356000000000002</v>
      </c>
      <c r="AN40" s="9" t="s">
        <v>26</v>
      </c>
      <c r="AO40" s="22">
        <v>0.83087</v>
      </c>
      <c r="AP40" s="22">
        <v>1.74709</v>
      </c>
      <c r="AQ40" s="13"/>
      <c r="AR40" s="22">
        <v>5.2084000000000001</v>
      </c>
      <c r="AS40" s="9" t="s">
        <v>26</v>
      </c>
      <c r="AT40" s="22">
        <v>0.45989000000000002</v>
      </c>
      <c r="AU40" s="22">
        <v>1.9016</v>
      </c>
      <c r="AV40" s="13"/>
      <c r="AW40" s="22">
        <v>19.956</v>
      </c>
      <c r="AX40" s="9" t="s">
        <v>26</v>
      </c>
      <c r="AY40" s="22">
        <v>6.1647999999999996</v>
      </c>
      <c r="AZ40" s="22">
        <v>11.340999999999999</v>
      </c>
      <c r="BA40" s="13"/>
      <c r="BB40" s="22">
        <v>1.5557000000000001</v>
      </c>
      <c r="BC40" s="9" t="s">
        <v>26</v>
      </c>
      <c r="BD40" s="22">
        <v>0.53410000000000002</v>
      </c>
      <c r="BE40" s="22">
        <v>0.59397500000000003</v>
      </c>
      <c r="BF40" s="13"/>
      <c r="BG40" s="9"/>
      <c r="BH40" s="9" t="s">
        <v>26</v>
      </c>
      <c r="BI40" s="9"/>
      <c r="BJ40" s="23">
        <v>9.04955</v>
      </c>
    </row>
    <row r="41" spans="1:67" ht="15" thickBot="1" x14ac:dyDescent="0.4">
      <c r="A41" s="13" t="s">
        <v>77</v>
      </c>
      <c r="B41" s="13"/>
      <c r="C41" s="13" t="s">
        <v>42</v>
      </c>
      <c r="D41" s="13" t="s">
        <v>76</v>
      </c>
      <c r="E41" s="13">
        <v>6.3230999999999996E-2</v>
      </c>
      <c r="F41" s="21">
        <v>44830</v>
      </c>
      <c r="G41" s="30">
        <v>1.0105787037037037</v>
      </c>
      <c r="H41" s="9"/>
      <c r="I41" s="22">
        <v>77.138000000000005</v>
      </c>
      <c r="J41" s="13" t="s">
        <v>26</v>
      </c>
      <c r="K41" s="23">
        <v>7.7000999999999999</v>
      </c>
      <c r="L41" s="22">
        <v>9.4718599999999995</v>
      </c>
      <c r="M41" s="13"/>
      <c r="N41" s="23">
        <v>30.914000000000001</v>
      </c>
      <c r="O41" s="9" t="s">
        <v>26</v>
      </c>
      <c r="P41" s="25">
        <v>2.0929000000000002</v>
      </c>
      <c r="Q41" s="23">
        <v>7.49458</v>
      </c>
      <c r="R41" s="9"/>
      <c r="S41" s="13"/>
      <c r="T41" s="12" t="s">
        <v>26</v>
      </c>
      <c r="U41" s="9"/>
      <c r="V41" s="46">
        <v>0.72366200000000003</v>
      </c>
      <c r="W41" s="12"/>
      <c r="X41" s="9"/>
      <c r="Y41" s="13" t="s">
        <v>26</v>
      </c>
      <c r="Z41" s="12"/>
      <c r="AA41" s="22">
        <v>2.8210799999999998</v>
      </c>
      <c r="AB41" s="13"/>
      <c r="AC41" s="23">
        <v>3.2462</v>
      </c>
      <c r="AD41" s="9" t="s">
        <v>26</v>
      </c>
      <c r="AE41" s="22">
        <v>0.19619</v>
      </c>
      <c r="AF41" s="22">
        <v>0.74575499999999995</v>
      </c>
      <c r="AG41" s="13"/>
      <c r="AH41" s="9"/>
      <c r="AI41" s="9" t="s">
        <v>26</v>
      </c>
      <c r="AJ41" s="9"/>
      <c r="AK41" s="22">
        <v>9.2909900000000007</v>
      </c>
      <c r="AL41" s="13"/>
      <c r="AM41" s="22">
        <v>6.0456000000000003</v>
      </c>
      <c r="AN41" s="9" t="s">
        <v>26</v>
      </c>
      <c r="AO41" s="22">
        <v>0.43762000000000001</v>
      </c>
      <c r="AP41" s="22">
        <v>2.3112900000000001</v>
      </c>
      <c r="AQ41" s="13"/>
      <c r="AR41" s="22">
        <v>6.1576000000000004</v>
      </c>
      <c r="AS41" s="9" t="s">
        <v>26</v>
      </c>
      <c r="AT41" s="22">
        <v>2.1472000000000002</v>
      </c>
      <c r="AU41" s="22">
        <v>2.4384399999999999</v>
      </c>
      <c r="AV41" s="13"/>
      <c r="AW41" s="22">
        <v>23.465</v>
      </c>
      <c r="AX41" s="9" t="s">
        <v>26</v>
      </c>
      <c r="AY41" s="22">
        <v>10.028</v>
      </c>
      <c r="AZ41" s="22">
        <v>19.1922</v>
      </c>
      <c r="BA41" s="13"/>
      <c r="BB41" s="22">
        <v>1.0125999999999999</v>
      </c>
      <c r="BC41" s="9" t="s">
        <v>26</v>
      </c>
      <c r="BD41" s="22">
        <v>0.12255000000000001</v>
      </c>
      <c r="BE41" s="22">
        <v>0.64732199999999995</v>
      </c>
      <c r="BF41" s="13"/>
      <c r="BG41" s="22">
        <v>19.405000000000001</v>
      </c>
      <c r="BH41" s="9" t="s">
        <v>26</v>
      </c>
      <c r="BI41" s="22">
        <v>1.8486</v>
      </c>
      <c r="BJ41" s="23">
        <v>11.394399999999999</v>
      </c>
    </row>
    <row r="42" spans="1:67" ht="15" thickBot="1" x14ac:dyDescent="0.4">
      <c r="A42" s="13" t="s">
        <v>118</v>
      </c>
      <c r="B42" s="13"/>
      <c r="C42" s="13" t="s">
        <v>42</v>
      </c>
      <c r="D42" s="13" t="s">
        <v>76</v>
      </c>
      <c r="E42" s="13">
        <v>6.5266000000000005E-2</v>
      </c>
      <c r="F42" s="21">
        <v>44869</v>
      </c>
      <c r="G42" s="30">
        <v>2.8232291666666662</v>
      </c>
      <c r="H42" s="9"/>
      <c r="I42" s="22">
        <v>60.569000000000003</v>
      </c>
      <c r="J42" s="13" t="s">
        <v>26</v>
      </c>
      <c r="K42" s="23">
        <v>4.4945000000000004</v>
      </c>
      <c r="L42" s="22">
        <v>7.08352</v>
      </c>
      <c r="M42" s="13"/>
      <c r="N42" s="23">
        <v>28.585999999999999</v>
      </c>
      <c r="O42" s="9" t="s">
        <v>26</v>
      </c>
      <c r="P42" s="25">
        <v>1.238</v>
      </c>
      <c r="Q42" s="23">
        <v>7.1887499999999998</v>
      </c>
      <c r="R42" s="9"/>
      <c r="S42" s="13"/>
      <c r="T42" s="12" t="s">
        <v>26</v>
      </c>
      <c r="U42" s="9"/>
      <c r="V42" s="46">
        <v>0.41612399999999999</v>
      </c>
      <c r="W42" s="12"/>
      <c r="X42" s="22">
        <v>3.2403</v>
      </c>
      <c r="Y42" s="13" t="s">
        <v>26</v>
      </c>
      <c r="Z42" s="23">
        <v>0.24134</v>
      </c>
      <c r="AA42" s="22">
        <v>1.52227</v>
      </c>
      <c r="AB42" s="13"/>
      <c r="AC42" s="23">
        <v>3.0569999999999999</v>
      </c>
      <c r="AD42" s="9" t="s">
        <v>26</v>
      </c>
      <c r="AE42" s="22">
        <v>0.14269000000000001</v>
      </c>
      <c r="AF42" s="22">
        <v>0.45990500000000001</v>
      </c>
      <c r="AG42" s="13"/>
      <c r="AH42" s="9"/>
      <c r="AI42" s="9" t="s">
        <v>26</v>
      </c>
      <c r="AJ42" s="9"/>
      <c r="AK42" s="22">
        <v>5.2455299999999996</v>
      </c>
      <c r="AL42" s="13"/>
      <c r="AM42" s="22">
        <v>5.9219999999999997</v>
      </c>
      <c r="AN42" s="9" t="s">
        <v>26</v>
      </c>
      <c r="AO42" s="22">
        <v>0.27726000000000001</v>
      </c>
      <c r="AP42" s="22">
        <v>1.4815499999999999</v>
      </c>
      <c r="AQ42" s="13"/>
      <c r="AR42" s="22">
        <v>5.1978</v>
      </c>
      <c r="AS42" s="9" t="s">
        <v>26</v>
      </c>
      <c r="AT42" s="22">
        <v>0.44205</v>
      </c>
      <c r="AU42" s="22">
        <v>1.79338</v>
      </c>
      <c r="AV42" s="13"/>
      <c r="AW42" s="9"/>
      <c r="AX42" s="9" t="s">
        <v>26</v>
      </c>
      <c r="AY42" s="9"/>
      <c r="AZ42" s="22">
        <v>10.747299999999999</v>
      </c>
      <c r="BA42" s="13"/>
      <c r="BB42" s="22">
        <v>1.2486999999999999</v>
      </c>
      <c r="BC42" s="9" t="s">
        <v>26</v>
      </c>
      <c r="BD42" s="22">
        <v>8.1548999999999996E-2</v>
      </c>
      <c r="BE42" s="22">
        <v>0.46957900000000002</v>
      </c>
      <c r="BF42" s="13"/>
      <c r="BG42" s="22">
        <v>12.536</v>
      </c>
      <c r="BH42" s="9" t="s">
        <v>26</v>
      </c>
      <c r="BI42" s="22">
        <v>1.0075000000000001</v>
      </c>
      <c r="BJ42" s="23">
        <v>7.9140600000000001</v>
      </c>
    </row>
    <row r="43" spans="1:67" ht="15" thickBot="1" x14ac:dyDescent="0.4">
      <c r="A43" s="13" t="s">
        <v>119</v>
      </c>
      <c r="B43" s="13"/>
      <c r="C43" s="13" t="s">
        <v>42</v>
      </c>
      <c r="D43" s="13" t="s">
        <v>76</v>
      </c>
      <c r="E43" s="13">
        <v>6.4757999999999996E-2</v>
      </c>
      <c r="F43" s="21">
        <v>44872</v>
      </c>
      <c r="G43" s="30">
        <v>1.0422222222222222</v>
      </c>
      <c r="H43" s="9"/>
      <c r="I43" s="22">
        <v>55.701000000000001</v>
      </c>
      <c r="J43" s="13" t="s">
        <v>26</v>
      </c>
      <c r="K43" s="23">
        <v>11.186999999999999</v>
      </c>
      <c r="L43" s="22">
        <v>8.9867899999999992</v>
      </c>
      <c r="M43" s="13"/>
      <c r="N43" s="23">
        <v>31.468</v>
      </c>
      <c r="O43" s="9" t="s">
        <v>26</v>
      </c>
      <c r="P43" s="25">
        <v>5.7061000000000002</v>
      </c>
      <c r="Q43" s="23">
        <v>12.38</v>
      </c>
      <c r="R43" s="9"/>
      <c r="S43" s="13"/>
      <c r="T43" s="12" t="s">
        <v>26</v>
      </c>
      <c r="U43" s="9"/>
      <c r="V43" s="46">
        <v>0.70305300000000004</v>
      </c>
      <c r="W43" s="12"/>
      <c r="X43" s="22">
        <v>3.282</v>
      </c>
      <c r="Y43" s="13" t="s">
        <v>26</v>
      </c>
      <c r="Z43" s="23">
        <v>2.0085000000000002</v>
      </c>
      <c r="AA43" s="22">
        <v>1.4981500000000001</v>
      </c>
      <c r="AB43" s="13"/>
      <c r="AC43" s="23">
        <v>2.7103000000000002</v>
      </c>
      <c r="AD43" s="9" t="s">
        <v>26</v>
      </c>
      <c r="AE43" s="22">
        <v>0.19578999999999999</v>
      </c>
      <c r="AF43" s="22">
        <v>0.74966299999999997</v>
      </c>
      <c r="AG43" s="13"/>
      <c r="AH43" s="9"/>
      <c r="AI43" s="9" t="s">
        <v>26</v>
      </c>
      <c r="AJ43" s="9"/>
      <c r="AK43" s="22">
        <v>8.89194</v>
      </c>
      <c r="AL43" s="13"/>
      <c r="AM43" s="22">
        <v>4.4973999999999998</v>
      </c>
      <c r="AN43" s="9" t="s">
        <v>26</v>
      </c>
      <c r="AO43" s="22">
        <v>0.40649000000000002</v>
      </c>
      <c r="AP43" s="22">
        <v>2.31359</v>
      </c>
      <c r="AQ43" s="13"/>
      <c r="AR43" s="22">
        <v>5.6169000000000002</v>
      </c>
      <c r="AS43" s="9" t="s">
        <v>26</v>
      </c>
      <c r="AT43" s="22">
        <v>0.52276999999999996</v>
      </c>
      <c r="AU43" s="22">
        <v>2.19984</v>
      </c>
      <c r="AV43" s="13"/>
      <c r="AW43" s="22">
        <v>22.497</v>
      </c>
      <c r="AX43" s="9" t="s">
        <v>26</v>
      </c>
      <c r="AY43" s="22">
        <v>9.2335999999999991</v>
      </c>
      <c r="AZ43" s="22">
        <v>15.032</v>
      </c>
      <c r="BA43" s="13"/>
      <c r="BB43" s="22">
        <v>1.0376000000000001</v>
      </c>
      <c r="BC43" s="9" t="s">
        <v>26</v>
      </c>
      <c r="BD43" s="22">
        <v>0.60267999999999999</v>
      </c>
      <c r="BE43" s="22">
        <v>0.68936799999999998</v>
      </c>
      <c r="BF43" s="13"/>
      <c r="BG43" s="9"/>
      <c r="BH43" s="9" t="s">
        <v>26</v>
      </c>
      <c r="BI43" s="9"/>
      <c r="BJ43" s="23">
        <v>12.0916</v>
      </c>
    </row>
    <row r="44" spans="1:67" ht="15" thickBot="1" x14ac:dyDescent="0.4">
      <c r="A44" s="13" t="s">
        <v>78</v>
      </c>
      <c r="B44" s="13"/>
      <c r="C44" s="13" t="s">
        <v>42</v>
      </c>
      <c r="D44" s="13" t="s">
        <v>76</v>
      </c>
      <c r="E44" s="13">
        <v>6.5379999999999994E-2</v>
      </c>
      <c r="F44" s="21">
        <v>44833</v>
      </c>
      <c r="G44" s="30">
        <v>1.253275462962963</v>
      </c>
      <c r="H44" s="9"/>
      <c r="I44" s="22">
        <v>61.143999999999998</v>
      </c>
      <c r="J44" s="13" t="s">
        <v>26</v>
      </c>
      <c r="K44" s="23">
        <v>6.6058000000000003</v>
      </c>
      <c r="L44" s="22">
        <v>10.0907</v>
      </c>
      <c r="M44" s="13"/>
      <c r="N44" s="23">
        <v>22.838000000000001</v>
      </c>
      <c r="O44" s="9" t="s">
        <v>26</v>
      </c>
      <c r="P44" s="25">
        <v>1.6472</v>
      </c>
      <c r="Q44" s="23">
        <v>6.3471500000000001</v>
      </c>
      <c r="R44" s="9"/>
      <c r="S44" s="13"/>
      <c r="T44" s="12" t="s">
        <v>26</v>
      </c>
      <c r="U44" s="9"/>
      <c r="V44" s="46">
        <v>0.59786600000000001</v>
      </c>
      <c r="W44" s="12"/>
      <c r="X44" s="22">
        <v>2.0604</v>
      </c>
      <c r="Y44" s="13" t="s">
        <v>26</v>
      </c>
      <c r="Z44" s="23">
        <v>0.29182999999999998</v>
      </c>
      <c r="AA44" s="22">
        <v>1.5359400000000001</v>
      </c>
      <c r="AB44" s="13"/>
      <c r="AC44" s="23">
        <v>2.5038</v>
      </c>
      <c r="AD44" s="9" t="s">
        <v>26</v>
      </c>
      <c r="AE44" s="22">
        <v>0.17427999999999999</v>
      </c>
      <c r="AF44" s="22">
        <v>0.66590499999999997</v>
      </c>
      <c r="AG44" s="13"/>
      <c r="AH44" s="9"/>
      <c r="AI44" s="9" t="s">
        <v>26</v>
      </c>
      <c r="AJ44" s="9"/>
      <c r="AK44" s="22">
        <v>8.0138700000000007</v>
      </c>
      <c r="AL44" s="13"/>
      <c r="AM44" s="22">
        <v>2.0615000000000001</v>
      </c>
      <c r="AN44" s="9" t="s">
        <v>26</v>
      </c>
      <c r="AO44" s="22">
        <v>0.60953000000000002</v>
      </c>
      <c r="AP44" s="22">
        <v>1.9849300000000001</v>
      </c>
      <c r="AQ44" s="13"/>
      <c r="AR44" s="22">
        <v>2.7458999999999998</v>
      </c>
      <c r="AS44" s="9" t="s">
        <v>26</v>
      </c>
      <c r="AT44" s="22">
        <v>0.90415000000000001</v>
      </c>
      <c r="AU44" s="22">
        <v>2.0797300000000001</v>
      </c>
      <c r="AV44" s="13"/>
      <c r="AW44" s="22">
        <v>24.945</v>
      </c>
      <c r="AX44" s="9" t="s">
        <v>26</v>
      </c>
      <c r="AY44" s="22">
        <v>2.2976999999999999</v>
      </c>
      <c r="AZ44" s="22">
        <v>15.9122</v>
      </c>
      <c r="BA44" s="13"/>
      <c r="BB44" s="22">
        <v>1.2375</v>
      </c>
      <c r="BC44" s="9" t="s">
        <v>26</v>
      </c>
      <c r="BD44" s="22">
        <v>0.10996</v>
      </c>
      <c r="BE44" s="22">
        <v>0.69686700000000001</v>
      </c>
      <c r="BF44" s="13"/>
      <c r="BG44" s="9"/>
      <c r="BH44" s="9" t="s">
        <v>26</v>
      </c>
      <c r="BI44" s="9"/>
      <c r="BJ44" s="23">
        <v>10.7567</v>
      </c>
    </row>
    <row r="45" spans="1:67" ht="15" thickBot="1" x14ac:dyDescent="0.4">
      <c r="A45" s="13" t="s">
        <v>79</v>
      </c>
      <c r="B45" s="13"/>
      <c r="C45" s="13" t="s">
        <v>42</v>
      </c>
      <c r="D45" s="13" t="s">
        <v>76</v>
      </c>
      <c r="E45" s="13">
        <v>6.5835000000000005E-2</v>
      </c>
      <c r="F45" s="21">
        <v>44834</v>
      </c>
      <c r="G45" s="30">
        <v>3.7132291666666668</v>
      </c>
      <c r="H45" s="9"/>
      <c r="I45" s="22">
        <v>64.025999999999996</v>
      </c>
      <c r="J45" s="13" t="s">
        <v>26</v>
      </c>
      <c r="K45" s="23">
        <v>5.2472000000000003</v>
      </c>
      <c r="L45" s="22">
        <v>6.0507</v>
      </c>
      <c r="M45" s="13"/>
      <c r="N45" s="23">
        <v>34.097000000000001</v>
      </c>
      <c r="O45" s="9" t="s">
        <v>26</v>
      </c>
      <c r="P45" s="25">
        <v>1.1815</v>
      </c>
      <c r="Q45" s="23">
        <v>6.5237699999999998</v>
      </c>
      <c r="R45" s="9"/>
      <c r="S45" s="13"/>
      <c r="T45" s="12" t="s">
        <v>26</v>
      </c>
      <c r="U45" s="9"/>
      <c r="V45" s="46">
        <v>0.34460200000000002</v>
      </c>
      <c r="W45" s="12"/>
      <c r="X45" s="22">
        <v>2.7509999999999999</v>
      </c>
      <c r="Y45" s="13" t="s">
        <v>26</v>
      </c>
      <c r="Z45" s="23">
        <v>0.85324</v>
      </c>
      <c r="AA45" s="22">
        <v>1.2307699999999999</v>
      </c>
      <c r="AB45" s="13"/>
      <c r="AC45" s="23">
        <v>2.6322000000000001</v>
      </c>
      <c r="AD45" s="9" t="s">
        <v>26</v>
      </c>
      <c r="AE45" s="22">
        <v>0.12264</v>
      </c>
      <c r="AF45" s="22">
        <v>0.37850499999999998</v>
      </c>
      <c r="AG45" s="13"/>
      <c r="AH45" s="9"/>
      <c r="AI45" s="9" t="s">
        <v>26</v>
      </c>
      <c r="AJ45" s="9"/>
      <c r="AK45" s="22">
        <v>4.5592100000000002</v>
      </c>
      <c r="AL45" s="13"/>
      <c r="AM45" s="22">
        <v>3.1665000000000001</v>
      </c>
      <c r="AN45" s="9" t="s">
        <v>26</v>
      </c>
      <c r="AO45" s="22">
        <v>0.68259999999999998</v>
      </c>
      <c r="AP45" s="22">
        <v>1.2498199999999999</v>
      </c>
      <c r="AQ45" s="13"/>
      <c r="AR45" s="22">
        <v>2.4247999999999998</v>
      </c>
      <c r="AS45" s="9" t="s">
        <v>26</v>
      </c>
      <c r="AT45" s="22">
        <v>0.61526999999999998</v>
      </c>
      <c r="AU45" s="22">
        <v>1.6524399999999999</v>
      </c>
      <c r="AV45" s="13"/>
      <c r="AW45" s="22">
        <v>17.774000000000001</v>
      </c>
      <c r="AX45" s="9" t="s">
        <v>26</v>
      </c>
      <c r="AY45" s="22">
        <v>4.4287000000000001</v>
      </c>
      <c r="AZ45" s="22">
        <v>7.5767499999999997</v>
      </c>
      <c r="BA45" s="13"/>
      <c r="BB45" s="22">
        <v>1.0130999999999999</v>
      </c>
      <c r="BC45" s="9" t="s">
        <v>26</v>
      </c>
      <c r="BD45" s="22">
        <v>0.23616000000000001</v>
      </c>
      <c r="BE45" s="22">
        <v>0.44264399999999998</v>
      </c>
      <c r="BF45" s="13"/>
      <c r="BG45" s="22">
        <v>13.359</v>
      </c>
      <c r="BH45" s="9" t="s">
        <v>26</v>
      </c>
      <c r="BI45" s="22">
        <v>0.88637999999999995</v>
      </c>
      <c r="BJ45" s="23">
        <v>5.49695</v>
      </c>
    </row>
    <row r="46" spans="1:67" ht="15" thickBot="1" x14ac:dyDescent="0.4">
      <c r="A46" s="13" t="s">
        <v>80</v>
      </c>
      <c r="B46" s="13"/>
      <c r="C46" s="13" t="s">
        <v>42</v>
      </c>
      <c r="D46" s="13" t="s">
        <v>76</v>
      </c>
      <c r="E46" s="13">
        <v>6.8128999999999995E-2</v>
      </c>
      <c r="F46" s="21">
        <v>44838</v>
      </c>
      <c r="G46" s="31">
        <v>1.0907060185185184</v>
      </c>
      <c r="H46" s="10"/>
      <c r="I46" s="18">
        <v>59.091000000000001</v>
      </c>
      <c r="J46" s="11" t="s">
        <v>26</v>
      </c>
      <c r="K46" s="19">
        <v>7.6003999999999996</v>
      </c>
      <c r="L46" s="18">
        <v>9.6027400000000007</v>
      </c>
      <c r="M46" s="11"/>
      <c r="N46" s="19">
        <v>25.739000000000001</v>
      </c>
      <c r="O46" s="10" t="s">
        <v>26</v>
      </c>
      <c r="P46" s="26">
        <v>1.7641</v>
      </c>
      <c r="Q46" s="19">
        <v>10.242900000000001</v>
      </c>
      <c r="R46" s="10"/>
      <c r="S46" s="11"/>
      <c r="T46" s="24" t="s">
        <v>26</v>
      </c>
      <c r="U46" s="10"/>
      <c r="V46" s="45">
        <v>0.63748499999999997</v>
      </c>
      <c r="W46" s="24"/>
      <c r="X46" s="18">
        <v>2.9523999999999999</v>
      </c>
      <c r="Y46" s="11" t="s">
        <v>26</v>
      </c>
      <c r="Z46" s="19">
        <v>1.8264</v>
      </c>
      <c r="AA46" s="18">
        <v>1.5628899999999999</v>
      </c>
      <c r="AB46" s="11"/>
      <c r="AC46" s="19">
        <v>2.2740999999999998</v>
      </c>
      <c r="AD46" s="9" t="s">
        <v>26</v>
      </c>
      <c r="AE46" s="22">
        <v>0.17907999999999999</v>
      </c>
      <c r="AF46" s="22">
        <v>1.1207800000000001</v>
      </c>
      <c r="AG46" s="13"/>
      <c r="AH46" s="9"/>
      <c r="AI46" s="9" t="s">
        <v>26</v>
      </c>
      <c r="AJ46" s="9"/>
      <c r="AK46" s="22">
        <v>8.3306400000000007</v>
      </c>
      <c r="AL46" s="13"/>
      <c r="AM46" s="22">
        <v>2.2425000000000002</v>
      </c>
      <c r="AN46" s="9" t="s">
        <v>26</v>
      </c>
      <c r="AO46" s="22">
        <v>1.0004999999999999</v>
      </c>
      <c r="AP46" s="22">
        <v>2.0589200000000001</v>
      </c>
      <c r="AQ46" s="13"/>
      <c r="AR46" s="22">
        <v>2.9161000000000001</v>
      </c>
      <c r="AS46" s="9" t="s">
        <v>26</v>
      </c>
      <c r="AT46" s="22">
        <v>0.47066999999999998</v>
      </c>
      <c r="AU46" s="22">
        <v>2.0135800000000001</v>
      </c>
      <c r="AV46" s="13"/>
      <c r="AW46" s="22">
        <v>17.792000000000002</v>
      </c>
      <c r="AX46" s="9" t="s">
        <v>26</v>
      </c>
      <c r="AY46" s="22">
        <v>2.2277999999999998</v>
      </c>
      <c r="AZ46" s="22">
        <v>17.076699999999999</v>
      </c>
      <c r="BA46" s="13"/>
      <c r="BB46" s="22">
        <v>1.2545999999999999</v>
      </c>
      <c r="BC46" s="9" t="s">
        <v>26</v>
      </c>
      <c r="BD46" s="22">
        <v>0.1135</v>
      </c>
      <c r="BE46" s="22">
        <v>0.64365000000000006</v>
      </c>
      <c r="BF46" s="13"/>
      <c r="BG46" s="22">
        <v>14.952999999999999</v>
      </c>
      <c r="BH46" s="9" t="s">
        <v>26</v>
      </c>
      <c r="BI46" s="22">
        <v>1.4511000000000001</v>
      </c>
      <c r="BJ46" s="23">
        <v>8.2548399999999997</v>
      </c>
    </row>
    <row r="47" spans="1:67" ht="15" thickBot="1" x14ac:dyDescent="0.4">
      <c r="A47" s="13" t="s">
        <v>81</v>
      </c>
      <c r="B47" s="13"/>
      <c r="C47" s="13" t="s">
        <v>42</v>
      </c>
      <c r="D47" s="13" t="s">
        <v>76</v>
      </c>
      <c r="E47" s="13">
        <v>6.8693000000000004E-2</v>
      </c>
      <c r="F47" s="21">
        <v>44839</v>
      </c>
      <c r="G47" s="42">
        <v>0.99239583333333325</v>
      </c>
      <c r="H47" s="15"/>
      <c r="I47" s="16">
        <v>70.13</v>
      </c>
      <c r="J47" s="14" t="s">
        <v>26</v>
      </c>
      <c r="K47" s="17">
        <v>8.0745000000000005</v>
      </c>
      <c r="L47" s="16">
        <v>9.3852100000000007</v>
      </c>
      <c r="M47" s="14"/>
      <c r="N47" s="17">
        <v>25.308</v>
      </c>
      <c r="O47" s="15" t="s">
        <v>26</v>
      </c>
      <c r="P47" s="28">
        <v>1.7639</v>
      </c>
      <c r="Q47" s="17">
        <v>10.3992</v>
      </c>
      <c r="R47" s="15"/>
      <c r="S47" s="14"/>
      <c r="T47" s="27" t="s">
        <v>26</v>
      </c>
      <c r="U47" s="15"/>
      <c r="V47" s="44">
        <v>0.65434499999999995</v>
      </c>
      <c r="W47" s="27"/>
      <c r="X47" s="16">
        <v>1.5414000000000001</v>
      </c>
      <c r="Y47" s="14" t="s">
        <v>26</v>
      </c>
      <c r="Z47" s="17">
        <v>0.30429</v>
      </c>
      <c r="AA47" s="16">
        <v>1.7906299999999999</v>
      </c>
      <c r="AB47" s="14"/>
      <c r="AC47" s="17">
        <v>2.6661000000000001</v>
      </c>
      <c r="AD47" s="9" t="s">
        <v>26</v>
      </c>
      <c r="AE47" s="22">
        <v>0.19012000000000001</v>
      </c>
      <c r="AF47" s="22">
        <v>0.71308800000000006</v>
      </c>
      <c r="AG47" s="13"/>
      <c r="AH47" s="9"/>
      <c r="AI47" s="9" t="s">
        <v>26</v>
      </c>
      <c r="AJ47" s="9"/>
      <c r="AK47" s="22">
        <v>8.4497300000000006</v>
      </c>
      <c r="AL47" s="13"/>
      <c r="AM47" s="22">
        <v>3.2789000000000001</v>
      </c>
      <c r="AN47" s="9" t="s">
        <v>26</v>
      </c>
      <c r="AO47" s="22">
        <v>0.36657000000000001</v>
      </c>
      <c r="AP47" s="22">
        <v>2.0132599999999998</v>
      </c>
      <c r="AQ47" s="13"/>
      <c r="AR47" s="22">
        <v>3.5520999999999998</v>
      </c>
      <c r="AS47" s="9" t="s">
        <v>26</v>
      </c>
      <c r="AT47" s="22">
        <v>0.95906999999999998</v>
      </c>
      <c r="AU47" s="22">
        <v>2.1464799999999999</v>
      </c>
      <c r="AV47" s="13"/>
      <c r="AW47" s="22">
        <v>14.108000000000001</v>
      </c>
      <c r="AX47" s="9" t="s">
        <v>26</v>
      </c>
      <c r="AY47" s="22">
        <v>2.1469999999999998</v>
      </c>
      <c r="AZ47" s="22">
        <v>13.820399999999999</v>
      </c>
      <c r="BA47" s="13"/>
      <c r="BB47" s="22">
        <v>0.76929999999999998</v>
      </c>
      <c r="BC47" s="9" t="s">
        <v>26</v>
      </c>
      <c r="BD47" s="22">
        <v>0.11183</v>
      </c>
      <c r="BE47" s="22">
        <v>0.67546399999999995</v>
      </c>
      <c r="BF47" s="13"/>
      <c r="BG47" s="22">
        <v>17.128</v>
      </c>
      <c r="BH47" s="9" t="s">
        <v>26</v>
      </c>
      <c r="BI47" s="22">
        <v>1.6821999999999999</v>
      </c>
      <c r="BJ47" s="23">
        <v>10.7416</v>
      </c>
    </row>
    <row r="48" spans="1:67" ht="15" thickBot="1" x14ac:dyDescent="0.4">
      <c r="A48" s="13" t="s">
        <v>82</v>
      </c>
      <c r="B48" s="13"/>
      <c r="C48" s="13" t="s">
        <v>42</v>
      </c>
      <c r="D48" s="13" t="s">
        <v>76</v>
      </c>
      <c r="E48" s="13">
        <v>6.8653000000000006E-2</v>
      </c>
      <c r="F48" s="21">
        <v>44840</v>
      </c>
      <c r="G48" s="35">
        <v>0.99228009259259264</v>
      </c>
      <c r="H48" s="35"/>
      <c r="I48" s="36">
        <v>75.837000000000003</v>
      </c>
      <c r="J48" s="37" t="s">
        <v>26</v>
      </c>
      <c r="K48" s="36">
        <v>7.7096999999999998</v>
      </c>
      <c r="L48" s="36">
        <v>8.6035900000000005</v>
      </c>
      <c r="M48" s="35"/>
      <c r="N48" s="36">
        <v>27.792999999999999</v>
      </c>
      <c r="O48" s="37" t="s">
        <v>26</v>
      </c>
      <c r="P48" s="36">
        <v>5.3906000000000001</v>
      </c>
      <c r="Q48" s="36">
        <v>10.5107</v>
      </c>
      <c r="R48" s="35"/>
      <c r="S48" s="37"/>
      <c r="T48" s="37" t="s">
        <v>26</v>
      </c>
      <c r="U48" s="37"/>
      <c r="V48" s="36">
        <v>0.65022999999999997</v>
      </c>
      <c r="W48" s="35"/>
      <c r="X48" s="37"/>
      <c r="Y48" s="37" t="s">
        <v>26</v>
      </c>
      <c r="Z48" s="37"/>
      <c r="AA48" s="36">
        <v>2.58677</v>
      </c>
      <c r="AB48" s="35"/>
      <c r="AC48" s="36">
        <v>2.8839999999999999</v>
      </c>
      <c r="AD48" s="9" t="s">
        <v>26</v>
      </c>
      <c r="AE48" s="22">
        <v>0.19872000000000001</v>
      </c>
      <c r="AF48" s="22">
        <v>0.71369499999999997</v>
      </c>
      <c r="AG48" s="13"/>
      <c r="AH48" s="9"/>
      <c r="AI48" s="9" t="s">
        <v>26</v>
      </c>
      <c r="AJ48" s="9"/>
      <c r="AK48" s="22">
        <v>8.5349199999999996</v>
      </c>
      <c r="AL48" s="13"/>
      <c r="AM48" s="22">
        <v>2.9796</v>
      </c>
      <c r="AN48" s="9" t="s">
        <v>26</v>
      </c>
      <c r="AO48" s="22">
        <v>0.53820000000000001</v>
      </c>
      <c r="AP48" s="22">
        <v>2.00224</v>
      </c>
      <c r="AQ48" s="13"/>
      <c r="AR48" s="22">
        <v>3.0434000000000001</v>
      </c>
      <c r="AS48" s="9" t="s">
        <v>26</v>
      </c>
      <c r="AT48" s="22">
        <v>0.99261999999999995</v>
      </c>
      <c r="AU48" s="22">
        <v>2.1369899999999999</v>
      </c>
      <c r="AV48" s="13"/>
      <c r="AW48" s="9"/>
      <c r="AX48" s="9" t="s">
        <v>26</v>
      </c>
      <c r="AY48" s="9"/>
      <c r="AZ48" s="22">
        <v>17.0151</v>
      </c>
      <c r="BA48" s="13"/>
      <c r="BB48" s="22">
        <v>1.0915999999999999</v>
      </c>
      <c r="BC48" s="9" t="s">
        <v>26</v>
      </c>
      <c r="BD48" s="22">
        <v>0.42895</v>
      </c>
      <c r="BE48" s="22">
        <v>0.69179900000000005</v>
      </c>
      <c r="BF48" s="13"/>
      <c r="BG48" s="22">
        <v>9.1242000000000001</v>
      </c>
      <c r="BH48" s="9" t="s">
        <v>26</v>
      </c>
      <c r="BI48" s="22">
        <v>1.4872000000000001</v>
      </c>
      <c r="BJ48" s="23">
        <v>9.9235399999999991</v>
      </c>
    </row>
    <row r="49" spans="1:62" ht="15" thickBot="1" x14ac:dyDescent="0.4">
      <c r="A49" s="13" t="s">
        <v>83</v>
      </c>
      <c r="B49" s="13"/>
      <c r="C49" s="13" t="s">
        <v>42</v>
      </c>
      <c r="D49" s="13" t="s">
        <v>76</v>
      </c>
      <c r="E49" s="13">
        <v>6.7655000000000007E-2</v>
      </c>
      <c r="F49" s="21">
        <v>44841</v>
      </c>
      <c r="G49" s="30">
        <v>2.7347106481481482</v>
      </c>
      <c r="H49" s="9"/>
      <c r="I49" s="22">
        <v>68.835999999999999</v>
      </c>
      <c r="J49" s="13" t="s">
        <v>26</v>
      </c>
      <c r="K49" s="23">
        <v>5.3135000000000003</v>
      </c>
      <c r="L49" s="22">
        <v>7.2443799999999996</v>
      </c>
      <c r="M49" s="13"/>
      <c r="N49" s="23">
        <v>30.934000000000001</v>
      </c>
      <c r="O49" s="9" t="s">
        <v>26</v>
      </c>
      <c r="P49" s="25">
        <v>3.5804999999999998</v>
      </c>
      <c r="Q49" s="23">
        <v>6.7738899999999997</v>
      </c>
      <c r="R49" s="9"/>
      <c r="S49" s="13"/>
      <c r="T49" s="12" t="s">
        <v>26</v>
      </c>
      <c r="U49" s="9"/>
      <c r="V49" s="46">
        <v>0.40803800000000001</v>
      </c>
      <c r="W49" s="12"/>
      <c r="X49" s="22">
        <v>2.4878999999999998</v>
      </c>
      <c r="Y49" s="13" t="s">
        <v>26</v>
      </c>
      <c r="Z49" s="23">
        <v>1.1052999999999999</v>
      </c>
      <c r="AA49" s="22">
        <v>1.2319199999999999</v>
      </c>
      <c r="AB49" s="13"/>
      <c r="AC49" s="23">
        <v>3.0552999999999999</v>
      </c>
      <c r="AD49" s="9" t="s">
        <v>26</v>
      </c>
      <c r="AE49" s="22">
        <v>0.1426</v>
      </c>
      <c r="AF49" s="22">
        <v>0.44121500000000002</v>
      </c>
      <c r="AG49" s="13"/>
      <c r="AH49" s="9"/>
      <c r="AI49" s="9" t="s">
        <v>26</v>
      </c>
      <c r="AJ49" s="9"/>
      <c r="AK49" s="22">
        <v>5.2705099999999998</v>
      </c>
      <c r="AL49" s="13"/>
      <c r="AM49" s="22">
        <v>2.6032999999999999</v>
      </c>
      <c r="AN49" s="9" t="s">
        <v>26</v>
      </c>
      <c r="AO49" s="22">
        <v>0.61426000000000003</v>
      </c>
      <c r="AP49" s="22">
        <v>1.3499099999999999</v>
      </c>
      <c r="AQ49" s="13"/>
      <c r="AR49" s="22">
        <v>2.5587</v>
      </c>
      <c r="AS49" s="9" t="s">
        <v>26</v>
      </c>
      <c r="AT49" s="22">
        <v>0.64227000000000001</v>
      </c>
      <c r="AU49" s="22">
        <v>1.7263299999999999</v>
      </c>
      <c r="AV49" s="13"/>
      <c r="AW49" s="22">
        <v>9.1869999999999994</v>
      </c>
      <c r="AX49" s="9" t="s">
        <v>26</v>
      </c>
      <c r="AY49" s="22">
        <v>1.4261999999999999</v>
      </c>
      <c r="AZ49" s="22">
        <v>5.0033099999999999</v>
      </c>
      <c r="BA49" s="13"/>
      <c r="BB49" s="22">
        <v>1.0696000000000001</v>
      </c>
      <c r="BC49" s="9" t="s">
        <v>26</v>
      </c>
      <c r="BD49" s="22">
        <v>7.7189999999999995E-2</v>
      </c>
      <c r="BE49" s="22">
        <v>0.51094600000000001</v>
      </c>
      <c r="BF49" s="13"/>
      <c r="BG49" s="22">
        <v>16.783000000000001</v>
      </c>
      <c r="BH49" s="9" t="s">
        <v>26</v>
      </c>
      <c r="BI49" s="22">
        <v>2.9306999999999999</v>
      </c>
      <c r="BJ49" s="23">
        <v>7.1610399999999998</v>
      </c>
    </row>
    <row r="50" spans="1:62" ht="15" thickBot="1" x14ac:dyDescent="0.4">
      <c r="A50" s="13" t="s">
        <v>84</v>
      </c>
      <c r="B50" s="13"/>
      <c r="C50" s="13" t="s">
        <v>42</v>
      </c>
      <c r="D50" s="13" t="s">
        <v>76</v>
      </c>
      <c r="E50" s="13">
        <v>6.9123000000000004E-2</v>
      </c>
      <c r="F50" s="21">
        <v>44844</v>
      </c>
      <c r="G50" s="31">
        <v>1.0034606481481483</v>
      </c>
      <c r="H50" s="10"/>
      <c r="I50" s="18">
        <v>68.88</v>
      </c>
      <c r="J50" s="11" t="s">
        <v>26</v>
      </c>
      <c r="K50" s="19">
        <v>7.5976999999999997</v>
      </c>
      <c r="L50" s="18">
        <v>9.1630199999999995</v>
      </c>
      <c r="M50" s="11"/>
      <c r="N50" s="19">
        <v>27.202999999999999</v>
      </c>
      <c r="O50" s="10" t="s">
        <v>26</v>
      </c>
      <c r="P50" s="26">
        <v>4.9306000000000001</v>
      </c>
      <c r="Q50" s="19">
        <v>11.419499999999999</v>
      </c>
      <c r="R50" s="10"/>
      <c r="S50" s="11"/>
      <c r="T50" s="24" t="s">
        <v>26</v>
      </c>
      <c r="U50" s="10"/>
      <c r="V50" s="45">
        <v>0.62994600000000001</v>
      </c>
      <c r="W50" s="24"/>
      <c r="X50" s="18">
        <v>1.6625000000000001</v>
      </c>
      <c r="Y50" s="11" t="s">
        <v>26</v>
      </c>
      <c r="Z50" s="19">
        <v>0.31459999999999999</v>
      </c>
      <c r="AA50" s="18">
        <v>1.92117</v>
      </c>
      <c r="AB50" s="11"/>
      <c r="AC50" s="19">
        <v>3.2601</v>
      </c>
      <c r="AD50" s="9" t="s">
        <v>26</v>
      </c>
      <c r="AE50" s="22">
        <v>0.20091999999999999</v>
      </c>
      <c r="AF50" s="22">
        <v>0.66119499999999998</v>
      </c>
      <c r="AG50" s="13"/>
      <c r="AH50" s="9"/>
      <c r="AI50" s="9" t="s">
        <v>26</v>
      </c>
      <c r="AJ50" s="9"/>
      <c r="AK50" s="22">
        <v>8.6694399999999998</v>
      </c>
      <c r="AL50" s="13"/>
      <c r="AM50" s="22">
        <v>3.1253000000000002</v>
      </c>
      <c r="AN50" s="9" t="s">
        <v>26</v>
      </c>
      <c r="AO50" s="22">
        <v>0.36451</v>
      </c>
      <c r="AP50" s="22">
        <v>1.9341600000000001</v>
      </c>
      <c r="AQ50" s="13"/>
      <c r="AR50" s="22">
        <v>3.3220999999999998</v>
      </c>
      <c r="AS50" s="9" t="s">
        <v>26</v>
      </c>
      <c r="AT50" s="22">
        <v>0.97479000000000005</v>
      </c>
      <c r="AU50" s="22">
        <v>2.1523099999999999</v>
      </c>
      <c r="AV50" s="13"/>
      <c r="AW50" s="9"/>
      <c r="AX50" s="9" t="s">
        <v>26</v>
      </c>
      <c r="AY50" s="9"/>
      <c r="AZ50" s="22">
        <v>16.891999999999999</v>
      </c>
      <c r="BA50" s="13"/>
      <c r="BB50" s="22">
        <v>0.58948999999999996</v>
      </c>
      <c r="BC50" s="9" t="s">
        <v>26</v>
      </c>
      <c r="BD50" s="22">
        <v>0.10448</v>
      </c>
      <c r="BE50" s="22">
        <v>0.58362099999999995</v>
      </c>
      <c r="BF50" s="13"/>
      <c r="BG50" s="9"/>
      <c r="BH50" s="9" t="s">
        <v>26</v>
      </c>
      <c r="BI50" s="9"/>
      <c r="BJ50" s="23">
        <v>11.3765</v>
      </c>
    </row>
    <row r="51" spans="1:62" ht="15" thickBot="1" x14ac:dyDescent="0.4">
      <c r="A51" s="13" t="s">
        <v>85</v>
      </c>
      <c r="B51" s="13"/>
      <c r="C51" s="13" t="s">
        <v>42</v>
      </c>
      <c r="D51" s="13" t="s">
        <v>76</v>
      </c>
      <c r="E51" s="13">
        <v>6.3702999999999996E-2</v>
      </c>
      <c r="F51" s="21">
        <v>44845</v>
      </c>
      <c r="G51" s="42">
        <v>1.1424305555555556</v>
      </c>
      <c r="H51" s="15"/>
      <c r="I51" s="16">
        <v>84.682000000000002</v>
      </c>
      <c r="J51" s="14" t="s">
        <v>26</v>
      </c>
      <c r="K51" s="17">
        <v>8.6844000000000001</v>
      </c>
      <c r="L51" s="16">
        <v>8.8117400000000004</v>
      </c>
      <c r="M51" s="14"/>
      <c r="N51" s="17">
        <v>30.841999999999999</v>
      </c>
      <c r="O51" s="15" t="s">
        <v>26</v>
      </c>
      <c r="P51" s="28">
        <v>1.8891</v>
      </c>
      <c r="Q51" s="17">
        <v>10.847</v>
      </c>
      <c r="R51" s="15"/>
      <c r="S51" s="14"/>
      <c r="T51" s="27" t="s">
        <v>26</v>
      </c>
      <c r="U51" s="15"/>
      <c r="V51" s="44">
        <v>0.66068300000000002</v>
      </c>
      <c r="W51" s="27"/>
      <c r="X51" s="15"/>
      <c r="Y51" s="14" t="s">
        <v>26</v>
      </c>
      <c r="Z51" s="27"/>
      <c r="AA51" s="16">
        <v>2.6065800000000001</v>
      </c>
      <c r="AB51" s="14"/>
      <c r="AC51" s="17">
        <v>3.0419999999999998</v>
      </c>
      <c r="AD51" s="9" t="s">
        <v>26</v>
      </c>
      <c r="AE51" s="22">
        <v>0.20266999999999999</v>
      </c>
      <c r="AF51" s="22">
        <v>0.72657300000000002</v>
      </c>
      <c r="AG51" s="13"/>
      <c r="AH51" s="9"/>
      <c r="AI51" s="9" t="s">
        <v>26</v>
      </c>
      <c r="AJ51" s="9"/>
      <c r="AK51" s="22">
        <v>8.7113200000000006</v>
      </c>
      <c r="AL51" s="13"/>
      <c r="AM51" s="22">
        <v>2.3243</v>
      </c>
      <c r="AN51" s="9" t="s">
        <v>26</v>
      </c>
      <c r="AO51" s="22">
        <v>1.0668</v>
      </c>
      <c r="AP51" s="22">
        <v>1.96523</v>
      </c>
      <c r="AQ51" s="13"/>
      <c r="AR51" s="22">
        <v>1.6924999999999999</v>
      </c>
      <c r="AS51" s="9" t="s">
        <v>26</v>
      </c>
      <c r="AT51" s="22">
        <v>0.49125999999999997</v>
      </c>
      <c r="AU51" s="22">
        <v>2.2069999999999999</v>
      </c>
      <c r="AV51" s="13"/>
      <c r="AW51" s="9"/>
      <c r="AX51" s="9" t="s">
        <v>26</v>
      </c>
      <c r="AY51" s="9"/>
      <c r="AZ51" s="22">
        <v>16.996300000000002</v>
      </c>
      <c r="BA51" s="13"/>
      <c r="BB51" s="22">
        <v>1.2496</v>
      </c>
      <c r="BC51" s="9" t="s">
        <v>26</v>
      </c>
      <c r="BD51" s="22">
        <v>0.12216</v>
      </c>
      <c r="BE51" s="22">
        <v>0.72672899999999996</v>
      </c>
      <c r="BF51" s="13"/>
      <c r="BG51" s="22">
        <v>10.656000000000001</v>
      </c>
      <c r="BH51" s="9" t="s">
        <v>26</v>
      </c>
      <c r="BI51" s="22">
        <v>1.4011</v>
      </c>
      <c r="BJ51" s="23">
        <v>11.594900000000001</v>
      </c>
    </row>
    <row r="52" spans="1:62" ht="15" thickBot="1" x14ac:dyDescent="0.4">
      <c r="A52" s="13" t="s">
        <v>120</v>
      </c>
      <c r="B52" s="13"/>
      <c r="C52" s="13" t="s">
        <v>42</v>
      </c>
      <c r="D52" s="13" t="s">
        <v>76</v>
      </c>
      <c r="E52" s="13">
        <v>6.5596000000000002E-2</v>
      </c>
      <c r="F52" s="21">
        <v>44862</v>
      </c>
      <c r="G52" s="47">
        <v>2.7752083333333335</v>
      </c>
      <c r="H52" s="37"/>
      <c r="I52" s="36">
        <v>53.523000000000003</v>
      </c>
      <c r="J52" s="35" t="s">
        <v>26</v>
      </c>
      <c r="K52" s="48">
        <v>4.3772000000000002</v>
      </c>
      <c r="L52" s="36">
        <v>6.6852900000000002</v>
      </c>
      <c r="M52" s="35"/>
      <c r="N52" s="48">
        <v>35.548999999999999</v>
      </c>
      <c r="O52" s="37" t="s">
        <v>26</v>
      </c>
      <c r="P52" s="38">
        <v>3.4356</v>
      </c>
      <c r="Q52" s="48">
        <v>9.2152100000000008</v>
      </c>
      <c r="R52" s="37"/>
      <c r="S52" s="35"/>
      <c r="T52" s="43" t="s">
        <v>26</v>
      </c>
      <c r="U52" s="37"/>
      <c r="V52" s="49">
        <v>0.40801799999999999</v>
      </c>
      <c r="W52" s="43"/>
      <c r="X52" s="36">
        <v>1.7932999999999999</v>
      </c>
      <c r="Y52" s="35" t="s">
        <v>26</v>
      </c>
      <c r="Z52" s="48">
        <v>0.20064000000000001</v>
      </c>
      <c r="AA52" s="36">
        <v>1.40069</v>
      </c>
      <c r="AB52" s="35"/>
      <c r="AC52" s="48">
        <v>3.1892999999999998</v>
      </c>
      <c r="AD52" s="9" t="s">
        <v>26</v>
      </c>
      <c r="AE52" s="22">
        <v>0.36742000000000002</v>
      </c>
      <c r="AF52" s="22">
        <v>0.45469799999999999</v>
      </c>
      <c r="AG52" s="13"/>
      <c r="AH52" s="9"/>
      <c r="AI52" s="9" t="s">
        <v>26</v>
      </c>
      <c r="AJ52" s="9"/>
      <c r="AK52" s="22">
        <v>5.30267</v>
      </c>
      <c r="AL52" s="13"/>
      <c r="AM52" s="22">
        <v>5.4523999999999999</v>
      </c>
      <c r="AN52" s="9" t="s">
        <v>26</v>
      </c>
      <c r="AO52" s="22">
        <v>0.68179000000000001</v>
      </c>
      <c r="AP52" s="22">
        <v>1.5813900000000001</v>
      </c>
      <c r="AQ52" s="13"/>
      <c r="AR52" s="22">
        <v>4.2545999999999999</v>
      </c>
      <c r="AS52" s="9" t="s">
        <v>26</v>
      </c>
      <c r="AT52" s="22">
        <v>0.43714999999999998</v>
      </c>
      <c r="AU52" s="22">
        <v>1.6952</v>
      </c>
      <c r="AV52" s="13"/>
      <c r="AW52" s="22">
        <v>20.434999999999999</v>
      </c>
      <c r="AX52" s="9" t="s">
        <v>26</v>
      </c>
      <c r="AY52" s="22">
        <v>1.5580000000000001</v>
      </c>
      <c r="AZ52" s="22">
        <v>11.5242</v>
      </c>
      <c r="BA52" s="13"/>
      <c r="BB52" s="22">
        <v>1.0371999999999999</v>
      </c>
      <c r="BC52" s="9" t="s">
        <v>26</v>
      </c>
      <c r="BD52" s="22">
        <v>0.24024000000000001</v>
      </c>
      <c r="BE52" s="22">
        <v>0.56877200000000006</v>
      </c>
      <c r="BF52" s="13"/>
      <c r="BG52" s="22">
        <v>17.294</v>
      </c>
      <c r="BH52" s="9" t="s">
        <v>26</v>
      </c>
      <c r="BI52" s="22">
        <v>1.0948</v>
      </c>
      <c r="BJ52" s="23">
        <v>6.9484599999999999</v>
      </c>
    </row>
    <row r="53" spans="1:62" ht="15" thickBot="1" x14ac:dyDescent="0.4">
      <c r="A53" s="13" t="s">
        <v>86</v>
      </c>
      <c r="B53" s="13"/>
      <c r="C53" s="13" t="s">
        <v>42</v>
      </c>
      <c r="D53" s="13" t="s">
        <v>76</v>
      </c>
      <c r="E53" s="13">
        <v>6.8473999999999993E-2</v>
      </c>
      <c r="F53" s="21">
        <v>44846</v>
      </c>
      <c r="G53" s="30">
        <v>1.0022106481481481</v>
      </c>
      <c r="H53" s="9"/>
      <c r="I53" s="22">
        <v>48.890999999999998</v>
      </c>
      <c r="J53" s="13" t="s">
        <v>26</v>
      </c>
      <c r="K53" s="23">
        <v>5.9135</v>
      </c>
      <c r="L53" s="22">
        <v>9.3761500000000009</v>
      </c>
      <c r="M53" s="13"/>
      <c r="N53" s="23">
        <v>20.427</v>
      </c>
      <c r="O53" s="9" t="s">
        <v>26</v>
      </c>
      <c r="P53" s="25">
        <v>1.7148000000000001</v>
      </c>
      <c r="Q53" s="23">
        <v>11.8262</v>
      </c>
      <c r="R53" s="9"/>
      <c r="S53" s="13"/>
      <c r="T53" s="12" t="s">
        <v>26</v>
      </c>
      <c r="U53" s="9"/>
      <c r="V53" s="46">
        <v>0.63587099999999996</v>
      </c>
      <c r="W53" s="12"/>
      <c r="X53" s="22">
        <v>1.4191</v>
      </c>
      <c r="Y53" s="13" t="s">
        <v>26</v>
      </c>
      <c r="Z53" s="23">
        <v>0.28122000000000003</v>
      </c>
      <c r="AA53" s="22">
        <v>1.10694</v>
      </c>
      <c r="AB53" s="13"/>
      <c r="AC53" s="23">
        <v>2.5363000000000002</v>
      </c>
      <c r="AD53" s="9" t="s">
        <v>26</v>
      </c>
      <c r="AE53" s="22">
        <v>0.18773999999999999</v>
      </c>
      <c r="AF53" s="22">
        <v>0.722167</v>
      </c>
      <c r="AG53" s="13"/>
      <c r="AH53" s="9"/>
      <c r="AI53" s="9" t="s">
        <v>26</v>
      </c>
      <c r="AJ53" s="9"/>
      <c r="AK53" s="22">
        <v>8.7275700000000001</v>
      </c>
      <c r="AL53" s="13"/>
      <c r="AM53" s="22">
        <v>6.0987</v>
      </c>
      <c r="AN53" s="9" t="s">
        <v>26</v>
      </c>
      <c r="AO53" s="22">
        <v>2.0706000000000002</v>
      </c>
      <c r="AP53" s="22">
        <v>2.03939</v>
      </c>
      <c r="AQ53" s="13"/>
      <c r="AR53" s="22">
        <v>4.7751999999999999</v>
      </c>
      <c r="AS53" s="9" t="s">
        <v>26</v>
      </c>
      <c r="AT53" s="22">
        <v>0.99387000000000003</v>
      </c>
      <c r="AU53" s="22">
        <v>2.1341000000000001</v>
      </c>
      <c r="AV53" s="13"/>
      <c r="AW53" s="22">
        <v>22.35</v>
      </c>
      <c r="AX53" s="9" t="s">
        <v>26</v>
      </c>
      <c r="AY53" s="22">
        <v>10.499000000000001</v>
      </c>
      <c r="AZ53" s="22">
        <v>16.522200000000002</v>
      </c>
      <c r="BA53" s="13"/>
      <c r="BB53" s="22">
        <v>0.88931000000000004</v>
      </c>
      <c r="BC53" s="9" t="s">
        <v>26</v>
      </c>
      <c r="BD53" s="22">
        <v>0.11545</v>
      </c>
      <c r="BE53" s="22">
        <v>0.66665300000000005</v>
      </c>
      <c r="BF53" s="13"/>
      <c r="BG53" s="22">
        <v>16.361999999999998</v>
      </c>
      <c r="BH53" s="9" t="s">
        <v>26</v>
      </c>
      <c r="BI53" s="22">
        <v>6.3933999999999997</v>
      </c>
      <c r="BJ53" s="23">
        <v>11.8467</v>
      </c>
    </row>
    <row r="54" spans="1:62" ht="15" thickBot="1" x14ac:dyDescent="0.4">
      <c r="A54" s="13" t="s">
        <v>121</v>
      </c>
      <c r="B54" s="13"/>
      <c r="C54" s="13" t="s">
        <v>42</v>
      </c>
      <c r="D54" s="13" t="s">
        <v>76</v>
      </c>
      <c r="E54" s="13">
        <v>6.9517999999999996E-2</v>
      </c>
      <c r="F54" s="21">
        <v>44847</v>
      </c>
      <c r="G54" s="30">
        <v>0.99181712962962976</v>
      </c>
      <c r="H54" s="9"/>
      <c r="I54" s="22">
        <v>56.320999999999998</v>
      </c>
      <c r="J54" s="13" t="s">
        <v>26</v>
      </c>
      <c r="K54" s="23">
        <v>6.4640000000000004</v>
      </c>
      <c r="L54" s="22">
        <v>9.9559700000000007</v>
      </c>
      <c r="M54" s="13"/>
      <c r="N54" s="23">
        <v>20.545000000000002</v>
      </c>
      <c r="O54" s="9" t="s">
        <v>26</v>
      </c>
      <c r="P54" s="25">
        <v>1.7109000000000001</v>
      </c>
      <c r="Q54" s="23">
        <v>6.7951600000000001</v>
      </c>
      <c r="R54" s="9"/>
      <c r="S54" s="13"/>
      <c r="T54" s="12" t="s">
        <v>26</v>
      </c>
      <c r="U54" s="9"/>
      <c r="V54" s="46">
        <v>0.66353200000000001</v>
      </c>
      <c r="W54" s="12"/>
      <c r="X54" s="22">
        <v>2.8904999999999998</v>
      </c>
      <c r="Y54" s="13" t="s">
        <v>26</v>
      </c>
      <c r="Z54" s="23">
        <v>0.78417000000000003</v>
      </c>
      <c r="AA54" s="22">
        <v>2.1056599999999999</v>
      </c>
      <c r="AB54" s="13"/>
      <c r="AC54" s="23">
        <v>3.4942000000000002</v>
      </c>
      <c r="AD54" s="9" t="s">
        <v>26</v>
      </c>
      <c r="AE54" s="22">
        <v>0.59106000000000003</v>
      </c>
      <c r="AF54" s="22">
        <v>0.69616</v>
      </c>
      <c r="AG54" s="13"/>
      <c r="AH54" s="9"/>
      <c r="AI54" s="9" t="s">
        <v>26</v>
      </c>
      <c r="AJ54" s="9"/>
      <c r="AK54" s="22">
        <v>8.5576799999999995</v>
      </c>
      <c r="AL54" s="13"/>
      <c r="AM54" s="22">
        <v>5.694</v>
      </c>
      <c r="AN54" s="9" t="s">
        <v>26</v>
      </c>
      <c r="AO54" s="22">
        <v>0.39778999999999998</v>
      </c>
      <c r="AP54" s="22">
        <v>2.1752500000000001</v>
      </c>
      <c r="AQ54" s="13"/>
      <c r="AR54" s="22">
        <v>5.7725</v>
      </c>
      <c r="AS54" s="9" t="s">
        <v>26</v>
      </c>
      <c r="AT54" s="22">
        <v>1.0331999999999999</v>
      </c>
      <c r="AU54" s="22">
        <v>2.2850199999999998</v>
      </c>
      <c r="AV54" s="13"/>
      <c r="AW54" s="22">
        <v>22.908000000000001</v>
      </c>
      <c r="AX54" s="9" t="s">
        <v>26</v>
      </c>
      <c r="AY54" s="22">
        <v>2.4533999999999998</v>
      </c>
      <c r="AZ54" s="22">
        <v>17.6004</v>
      </c>
      <c r="BA54" s="13"/>
      <c r="BB54" s="22">
        <v>0.93276999999999999</v>
      </c>
      <c r="BC54" s="9" t="s">
        <v>26</v>
      </c>
      <c r="BD54" s="22">
        <v>0.49623</v>
      </c>
      <c r="BE54" s="22">
        <v>0.697133</v>
      </c>
      <c r="BF54" s="13"/>
      <c r="BG54" s="22">
        <v>11.986000000000001</v>
      </c>
      <c r="BH54" s="9" t="s">
        <v>26</v>
      </c>
      <c r="BI54" s="22">
        <v>1.5692999999999999</v>
      </c>
      <c r="BJ54" s="23">
        <v>10.812799999999999</v>
      </c>
    </row>
    <row r="55" spans="1:62" ht="15" thickBot="1" x14ac:dyDescent="0.4">
      <c r="A55" s="13" t="s">
        <v>122</v>
      </c>
      <c r="B55" s="13"/>
      <c r="C55" s="13" t="s">
        <v>42</v>
      </c>
      <c r="D55" s="13" t="s">
        <v>76</v>
      </c>
      <c r="E55" s="13">
        <v>7.0718000000000003E-2</v>
      </c>
      <c r="F55" s="21">
        <v>44848</v>
      </c>
      <c r="G55" s="30">
        <v>2.7482523148148146</v>
      </c>
      <c r="H55" s="9"/>
      <c r="I55" s="22">
        <v>49.743000000000002</v>
      </c>
      <c r="J55" s="13" t="s">
        <v>26</v>
      </c>
      <c r="K55" s="23">
        <v>4.1935000000000002</v>
      </c>
      <c r="L55" s="22">
        <v>6.8781499999999998</v>
      </c>
      <c r="M55" s="13"/>
      <c r="N55" s="23">
        <v>30.106999999999999</v>
      </c>
      <c r="O55" s="9" t="s">
        <v>26</v>
      </c>
      <c r="P55" s="25">
        <v>3.0135000000000001</v>
      </c>
      <c r="Q55" s="23">
        <v>4.6338100000000004</v>
      </c>
      <c r="R55" s="9"/>
      <c r="S55" s="13"/>
      <c r="T55" s="12" t="s">
        <v>26</v>
      </c>
      <c r="U55" s="9"/>
      <c r="V55" s="46">
        <v>0.378527</v>
      </c>
      <c r="W55" s="12"/>
      <c r="X55" s="22">
        <v>2.5916000000000001</v>
      </c>
      <c r="Y55" s="13" t="s">
        <v>26</v>
      </c>
      <c r="Z55" s="23">
        <v>0.21231</v>
      </c>
      <c r="AA55" s="22">
        <v>1.3458699999999999</v>
      </c>
      <c r="AB55" s="13"/>
      <c r="AC55" s="23">
        <v>2.4986000000000002</v>
      </c>
      <c r="AD55" s="9" t="s">
        <v>26</v>
      </c>
      <c r="AE55" s="22">
        <v>0.12503</v>
      </c>
      <c r="AF55" s="22">
        <v>0.42658200000000002</v>
      </c>
      <c r="AG55" s="13"/>
      <c r="AH55" s="9"/>
      <c r="AI55" s="9" t="s">
        <v>26</v>
      </c>
      <c r="AJ55" s="9"/>
      <c r="AK55" s="22">
        <v>4.9362599999999999</v>
      </c>
      <c r="AL55" s="13"/>
      <c r="AM55" s="22">
        <v>5.1952999999999996</v>
      </c>
      <c r="AN55" s="9" t="s">
        <v>26</v>
      </c>
      <c r="AO55" s="22">
        <v>0.70657000000000003</v>
      </c>
      <c r="AP55" s="22">
        <v>1.46976</v>
      </c>
      <c r="AQ55" s="13"/>
      <c r="AR55" s="22">
        <v>4.6048999999999998</v>
      </c>
      <c r="AS55" s="9" t="s">
        <v>26</v>
      </c>
      <c r="AT55" s="22">
        <v>0.46794000000000002</v>
      </c>
      <c r="AU55" s="22">
        <v>1.68638</v>
      </c>
      <c r="AV55" s="13"/>
      <c r="AW55" s="22">
        <v>19.54</v>
      </c>
      <c r="AX55" s="9" t="s">
        <v>26</v>
      </c>
      <c r="AY55" s="22">
        <v>1.4414</v>
      </c>
      <c r="AZ55" s="22">
        <v>12.154999999999999</v>
      </c>
      <c r="BA55" s="13"/>
      <c r="BB55" s="22">
        <v>1.0838000000000001</v>
      </c>
      <c r="BC55" s="9" t="s">
        <v>26</v>
      </c>
      <c r="BD55" s="22">
        <v>0.20701</v>
      </c>
      <c r="BE55" s="22">
        <v>0.50444100000000003</v>
      </c>
      <c r="BF55" s="13"/>
      <c r="BG55" s="22">
        <v>12.765000000000001</v>
      </c>
      <c r="BH55" s="9" t="s">
        <v>26</v>
      </c>
      <c r="BI55" s="22">
        <v>1.8635999999999999</v>
      </c>
      <c r="BJ55" s="23">
        <v>5.92333</v>
      </c>
    </row>
    <row r="56" spans="1:62" ht="15" thickBot="1" x14ac:dyDescent="0.4">
      <c r="A56" s="13" t="s">
        <v>123</v>
      </c>
      <c r="B56" s="13"/>
      <c r="C56" s="13" t="s">
        <v>42</v>
      </c>
      <c r="D56" s="13" t="s">
        <v>76</v>
      </c>
      <c r="E56" s="13">
        <v>6.4001000000000002E-2</v>
      </c>
      <c r="F56" s="21">
        <v>44851</v>
      </c>
      <c r="G56" s="30">
        <v>1.0334143518518517</v>
      </c>
      <c r="H56" s="9"/>
      <c r="I56" s="22">
        <v>24.81</v>
      </c>
      <c r="J56" s="13" t="s">
        <v>26</v>
      </c>
      <c r="K56" s="23">
        <v>7.1169000000000002</v>
      </c>
      <c r="L56" s="22">
        <v>8.5170200000000005</v>
      </c>
      <c r="M56" s="13"/>
      <c r="N56" s="23">
        <v>27.524000000000001</v>
      </c>
      <c r="O56" s="9" t="s">
        <v>26</v>
      </c>
      <c r="P56" s="25">
        <v>1.8586</v>
      </c>
      <c r="Q56" s="23">
        <v>10.980600000000001</v>
      </c>
      <c r="R56" s="9"/>
      <c r="S56" s="13"/>
      <c r="T56" s="12" t="s">
        <v>26</v>
      </c>
      <c r="U56" s="9"/>
      <c r="V56" s="46">
        <v>0.68586899999999995</v>
      </c>
      <c r="W56" s="12"/>
      <c r="X56" s="22">
        <v>2.3496999999999999</v>
      </c>
      <c r="Y56" s="13" t="s">
        <v>26</v>
      </c>
      <c r="Z56" s="23">
        <v>2.3174999999999999</v>
      </c>
      <c r="AA56" s="22">
        <v>1.8432500000000001</v>
      </c>
      <c r="AB56" s="13"/>
      <c r="AC56" s="23">
        <v>2.3902999999999999</v>
      </c>
      <c r="AD56" s="9" t="s">
        <v>26</v>
      </c>
      <c r="AE56" s="22">
        <v>0.53244999999999998</v>
      </c>
      <c r="AF56" s="22">
        <v>0.73441400000000001</v>
      </c>
      <c r="AG56" s="13"/>
      <c r="AH56" s="9"/>
      <c r="AI56" s="9" t="s">
        <v>26</v>
      </c>
      <c r="AJ56" s="9"/>
      <c r="AK56" s="22">
        <v>8.7344899999999992</v>
      </c>
      <c r="AL56" s="13"/>
      <c r="AM56" s="22">
        <v>3.3231999999999999</v>
      </c>
      <c r="AN56" s="9" t="s">
        <v>26</v>
      </c>
      <c r="AO56" s="22">
        <v>1.1647000000000001</v>
      </c>
      <c r="AP56" s="22">
        <v>2.2510599999999998</v>
      </c>
      <c r="AQ56" s="13"/>
      <c r="AR56" s="22">
        <v>2.9830000000000001</v>
      </c>
      <c r="AS56" s="9" t="s">
        <v>26</v>
      </c>
      <c r="AT56" s="22">
        <v>1.0162</v>
      </c>
      <c r="AU56" s="22">
        <v>2.26234</v>
      </c>
      <c r="AV56" s="13"/>
      <c r="AW56" s="9"/>
      <c r="AX56" s="9" t="s">
        <v>26</v>
      </c>
      <c r="AY56" s="9"/>
      <c r="AZ56" s="22">
        <v>17.723800000000001</v>
      </c>
      <c r="BA56" s="13"/>
      <c r="BB56" s="22">
        <v>0.76551000000000002</v>
      </c>
      <c r="BC56" s="9" t="s">
        <v>26</v>
      </c>
      <c r="BD56" s="22">
        <v>0.10754</v>
      </c>
      <c r="BE56" s="22">
        <v>0.56817499999999999</v>
      </c>
      <c r="BF56" s="13"/>
      <c r="BG56" s="22">
        <v>16.940000000000001</v>
      </c>
      <c r="BH56" s="9" t="s">
        <v>26</v>
      </c>
      <c r="BI56" s="22">
        <v>1.6112</v>
      </c>
      <c r="BJ56" s="23">
        <v>10.334</v>
      </c>
    </row>
    <row r="57" spans="1:62" ht="15" thickBot="1" x14ac:dyDescent="0.4">
      <c r="A57" s="13" t="s">
        <v>124</v>
      </c>
      <c r="B57" s="13"/>
      <c r="C57" s="13" t="s">
        <v>42</v>
      </c>
      <c r="D57" s="13" t="s">
        <v>76</v>
      </c>
      <c r="E57" s="13">
        <v>6.4831E-2</v>
      </c>
      <c r="F57" s="21">
        <v>44853</v>
      </c>
      <c r="G57" s="30">
        <v>1.0235185185185185</v>
      </c>
      <c r="H57" s="9"/>
      <c r="I57" s="22">
        <v>18.956</v>
      </c>
      <c r="J57" s="13" t="s">
        <v>26</v>
      </c>
      <c r="K57" s="23">
        <v>6.5632999999999999</v>
      </c>
      <c r="L57" s="22">
        <v>9.9122900000000005</v>
      </c>
      <c r="M57" s="13"/>
      <c r="N57" s="23">
        <v>23.413</v>
      </c>
      <c r="O57" s="9" t="s">
        <v>26</v>
      </c>
      <c r="P57" s="25">
        <v>1.8063</v>
      </c>
      <c r="Q57" s="23">
        <v>7.1204299999999998</v>
      </c>
      <c r="R57" s="9"/>
      <c r="S57" s="13"/>
      <c r="T57" s="12" t="s">
        <v>26</v>
      </c>
      <c r="U57" s="9"/>
      <c r="V57" s="46">
        <v>0.65718399999999999</v>
      </c>
      <c r="W57" s="12"/>
      <c r="X57" s="9"/>
      <c r="Y57" s="13" t="s">
        <v>26</v>
      </c>
      <c r="Z57" s="12"/>
      <c r="AA57" s="22">
        <v>2.5395799999999999</v>
      </c>
      <c r="AB57" s="13"/>
      <c r="AC57" s="23">
        <v>2.1059999999999999</v>
      </c>
      <c r="AD57" s="9" t="s">
        <v>26</v>
      </c>
      <c r="AE57" s="22">
        <v>0.17474000000000001</v>
      </c>
      <c r="AF57" s="22">
        <v>0.72465599999999997</v>
      </c>
      <c r="AG57" s="13"/>
      <c r="AH57" s="9"/>
      <c r="AI57" s="9" t="s">
        <v>26</v>
      </c>
      <c r="AJ57" s="9"/>
      <c r="AK57" s="22">
        <v>8.4771599999999996</v>
      </c>
      <c r="AL57" s="13"/>
      <c r="AM57" s="22">
        <v>3.6457999999999999</v>
      </c>
      <c r="AN57" s="9" t="s">
        <v>26</v>
      </c>
      <c r="AO57" s="22">
        <v>0.39294000000000001</v>
      </c>
      <c r="AP57" s="22">
        <v>2.23834</v>
      </c>
      <c r="AQ57" s="13"/>
      <c r="AR57" s="22">
        <v>3.5606</v>
      </c>
      <c r="AS57" s="9" t="s">
        <v>26</v>
      </c>
      <c r="AT57" s="22">
        <v>1.1135999999999999</v>
      </c>
      <c r="AU57" s="22">
        <v>2.1480299999999999</v>
      </c>
      <c r="AV57" s="13"/>
      <c r="AW57" s="22">
        <v>18.265999999999998</v>
      </c>
      <c r="AX57" s="9" t="s">
        <v>26</v>
      </c>
      <c r="AY57" s="22">
        <v>2.3026</v>
      </c>
      <c r="AZ57" s="22">
        <v>14.386100000000001</v>
      </c>
      <c r="BA57" s="13"/>
      <c r="BB57" s="22">
        <v>0.73626999999999998</v>
      </c>
      <c r="BC57" s="9" t="s">
        <v>26</v>
      </c>
      <c r="BD57" s="22">
        <v>0.96916000000000002</v>
      </c>
      <c r="BE57" s="22">
        <v>0.59480200000000005</v>
      </c>
      <c r="BF57" s="13"/>
      <c r="BG57" s="22">
        <v>14.946999999999999</v>
      </c>
      <c r="BH57" s="9" t="s">
        <v>26</v>
      </c>
      <c r="BI57" s="22">
        <v>1.5822000000000001</v>
      </c>
      <c r="BJ57" s="23">
        <v>9.0655699999999992</v>
      </c>
    </row>
    <row r="58" spans="1:62" ht="15" thickBot="1" x14ac:dyDescent="0.4">
      <c r="A58" s="13" t="s">
        <v>125</v>
      </c>
      <c r="B58" s="13"/>
      <c r="C58" s="13" t="s">
        <v>42</v>
      </c>
      <c r="D58" s="13" t="s">
        <v>76</v>
      </c>
      <c r="E58" s="13">
        <v>6.7669000000000007E-2</v>
      </c>
      <c r="F58" s="21">
        <v>44854</v>
      </c>
      <c r="G58" s="30">
        <v>1.0405555555555557</v>
      </c>
      <c r="H58" s="9"/>
      <c r="I58" s="22">
        <v>30.651</v>
      </c>
      <c r="J58" s="13" t="s">
        <v>26</v>
      </c>
      <c r="K58" s="23">
        <v>6.7148000000000003</v>
      </c>
      <c r="L58" s="22">
        <v>8.3740699999999997</v>
      </c>
      <c r="M58" s="13"/>
      <c r="N58" s="23">
        <v>32.777999999999999</v>
      </c>
      <c r="O58" s="9" t="s">
        <v>26</v>
      </c>
      <c r="P58" s="25">
        <v>1.8708</v>
      </c>
      <c r="Q58" s="23">
        <v>6.4747899999999996</v>
      </c>
      <c r="R58" s="9"/>
      <c r="S58" s="13"/>
      <c r="T58" s="12" t="s">
        <v>26</v>
      </c>
      <c r="U58" s="9"/>
      <c r="V58" s="46">
        <v>0.65090000000000003</v>
      </c>
      <c r="W58" s="12"/>
      <c r="X58" s="22">
        <v>2.7450000000000001</v>
      </c>
      <c r="Y58" s="13" t="s">
        <v>26</v>
      </c>
      <c r="Z58" s="23">
        <v>0.30858000000000002</v>
      </c>
      <c r="AA58" s="22">
        <v>1.85595</v>
      </c>
      <c r="AB58" s="13"/>
      <c r="AC58" s="23">
        <v>2.3532999999999999</v>
      </c>
      <c r="AD58" s="9" t="s">
        <v>26</v>
      </c>
      <c r="AE58" s="22">
        <v>0.51700999999999997</v>
      </c>
      <c r="AF58" s="22">
        <v>0.690581</v>
      </c>
      <c r="AG58" s="13"/>
      <c r="AH58" s="9"/>
      <c r="AI58" s="9" t="s">
        <v>26</v>
      </c>
      <c r="AJ58" s="9"/>
      <c r="AK58" s="22">
        <v>8.5059299999999993</v>
      </c>
      <c r="AL58" s="13"/>
      <c r="AM58" s="22">
        <v>4.8890000000000002</v>
      </c>
      <c r="AN58" s="9" t="s">
        <v>26</v>
      </c>
      <c r="AO58" s="22">
        <v>1.1243000000000001</v>
      </c>
      <c r="AP58" s="22">
        <v>2.1335199999999999</v>
      </c>
      <c r="AQ58" s="13"/>
      <c r="AR58" s="22">
        <v>3.3904999999999998</v>
      </c>
      <c r="AS58" s="9" t="s">
        <v>26</v>
      </c>
      <c r="AT58" s="22">
        <v>0.48805999999999999</v>
      </c>
      <c r="AU58" s="22">
        <v>2.3925100000000001</v>
      </c>
      <c r="AV58" s="13"/>
      <c r="AW58" s="22">
        <v>11.364000000000001</v>
      </c>
      <c r="AX58" s="9" t="s">
        <v>26</v>
      </c>
      <c r="AY58" s="22">
        <v>7.9537000000000004</v>
      </c>
      <c r="AZ58" s="22">
        <v>8.7232900000000004</v>
      </c>
      <c r="BA58" s="13"/>
      <c r="BB58" s="9"/>
      <c r="BC58" s="9" t="s">
        <v>26</v>
      </c>
      <c r="BD58" s="9"/>
      <c r="BE58" s="22">
        <v>0.82152899999999995</v>
      </c>
      <c r="BF58" s="13"/>
      <c r="BG58" s="9"/>
      <c r="BH58" s="9" t="s">
        <v>26</v>
      </c>
      <c r="BI58" s="9"/>
      <c r="BJ58" s="23">
        <v>11.397399999999999</v>
      </c>
    </row>
    <row r="59" spans="1:62" ht="15" thickBot="1" x14ac:dyDescent="0.4">
      <c r="A59" s="13" t="s">
        <v>126</v>
      </c>
      <c r="B59" s="13"/>
      <c r="C59" s="13" t="s">
        <v>42</v>
      </c>
      <c r="D59" s="13" t="s">
        <v>76</v>
      </c>
      <c r="E59" s="13">
        <v>7.0114999999999997E-2</v>
      </c>
      <c r="F59" s="21">
        <v>44855</v>
      </c>
      <c r="G59" s="31">
        <v>2.6661921296296298</v>
      </c>
      <c r="H59" s="10"/>
      <c r="I59" s="18">
        <v>26.449000000000002</v>
      </c>
      <c r="J59" s="11" t="s">
        <v>26</v>
      </c>
      <c r="K59" s="19">
        <v>3.6391</v>
      </c>
      <c r="L59" s="18">
        <v>6.7109100000000002</v>
      </c>
      <c r="M59" s="11"/>
      <c r="N59" s="19">
        <v>36.884</v>
      </c>
      <c r="O59" s="10" t="s">
        <v>26</v>
      </c>
      <c r="P59" s="26">
        <v>3.4851999999999999</v>
      </c>
      <c r="Q59" s="19">
        <v>7.3660699999999997</v>
      </c>
      <c r="R59" s="10"/>
      <c r="S59" s="11"/>
      <c r="T59" s="24" t="s">
        <v>26</v>
      </c>
      <c r="U59" s="10"/>
      <c r="V59" s="45">
        <v>0.38555200000000001</v>
      </c>
      <c r="W59" s="24"/>
      <c r="X59" s="18">
        <v>2.7795000000000001</v>
      </c>
      <c r="Y59" s="11" t="s">
        <v>26</v>
      </c>
      <c r="Z59" s="19">
        <v>0.21604000000000001</v>
      </c>
      <c r="AA59" s="18">
        <v>1.2924199999999999</v>
      </c>
      <c r="AB59" s="11"/>
      <c r="AC59" s="19">
        <v>2.4701</v>
      </c>
      <c r="AD59" s="9" t="s">
        <v>26</v>
      </c>
      <c r="AE59" s="22">
        <v>0.12551999999999999</v>
      </c>
      <c r="AF59" s="22">
        <v>0.42568899999999998</v>
      </c>
      <c r="AG59" s="13"/>
      <c r="AH59" s="9"/>
      <c r="AI59" s="9" t="s">
        <v>26</v>
      </c>
      <c r="AJ59" s="9"/>
      <c r="AK59" s="22">
        <v>5.0852399999999998</v>
      </c>
      <c r="AL59" s="13"/>
      <c r="AM59" s="22">
        <v>4.8334000000000001</v>
      </c>
      <c r="AN59" s="9" t="s">
        <v>26</v>
      </c>
      <c r="AO59" s="22">
        <v>0.25766</v>
      </c>
      <c r="AP59" s="22">
        <v>1.41326</v>
      </c>
      <c r="AQ59" s="13"/>
      <c r="AR59" s="22">
        <v>5.3056000000000001</v>
      </c>
      <c r="AS59" s="9" t="s">
        <v>26</v>
      </c>
      <c r="AT59" s="22">
        <v>0.68179999999999996</v>
      </c>
      <c r="AU59" s="22">
        <v>1.6256600000000001</v>
      </c>
      <c r="AV59" s="13"/>
      <c r="AW59" s="22">
        <v>11.912000000000001</v>
      </c>
      <c r="AX59" s="9" t="s">
        <v>26</v>
      </c>
      <c r="AY59" s="22">
        <v>2.4910999999999999</v>
      </c>
      <c r="AZ59" s="22">
        <v>5.4040999999999997</v>
      </c>
      <c r="BA59" s="13"/>
      <c r="BB59" s="22">
        <v>0.94516</v>
      </c>
      <c r="BC59" s="9" t="s">
        <v>26</v>
      </c>
      <c r="BD59" s="22">
        <v>7.0895E-2</v>
      </c>
      <c r="BE59" s="22">
        <v>0.40757599999999999</v>
      </c>
      <c r="BF59" s="13"/>
      <c r="BG59" s="22">
        <v>15.680999999999999</v>
      </c>
      <c r="BH59" s="9" t="s">
        <v>26</v>
      </c>
      <c r="BI59" s="22">
        <v>1.0213000000000001</v>
      </c>
      <c r="BJ59" s="23">
        <v>4.39574</v>
      </c>
    </row>
    <row r="60" spans="1:62" ht="15" thickBot="1" x14ac:dyDescent="0.4">
      <c r="A60" s="13" t="s">
        <v>127</v>
      </c>
      <c r="B60" s="13"/>
      <c r="C60" s="13" t="s">
        <v>42</v>
      </c>
      <c r="D60" s="13" t="s">
        <v>76</v>
      </c>
      <c r="E60" s="13">
        <v>7.1265999999999996E-2</v>
      </c>
      <c r="F60" s="21">
        <v>44858</v>
      </c>
      <c r="G60" s="42">
        <v>1.9701157407407408</v>
      </c>
      <c r="H60" s="15"/>
      <c r="I60" s="16">
        <v>26.585999999999999</v>
      </c>
      <c r="J60" s="14" t="s">
        <v>26</v>
      </c>
      <c r="K60" s="17">
        <v>3.613</v>
      </c>
      <c r="L60" s="16">
        <v>6.5964099999999997</v>
      </c>
      <c r="M60" s="14"/>
      <c r="N60" s="17">
        <v>30.765000000000001</v>
      </c>
      <c r="O60" s="15" t="s">
        <v>26</v>
      </c>
      <c r="P60" s="28">
        <v>3.6928000000000001</v>
      </c>
      <c r="Q60" s="17">
        <v>5.2037899999999997</v>
      </c>
      <c r="R60" s="15"/>
      <c r="S60" s="14"/>
      <c r="T60" s="27" t="s">
        <v>26</v>
      </c>
      <c r="U60" s="15"/>
      <c r="V60" s="44">
        <v>0.444909</v>
      </c>
      <c r="W60" s="27"/>
      <c r="X60" s="16">
        <v>2.3860000000000001</v>
      </c>
      <c r="Y60" s="14" t="s">
        <v>26</v>
      </c>
      <c r="Z60" s="17">
        <v>0.23269999999999999</v>
      </c>
      <c r="AA60" s="16">
        <v>1.3915500000000001</v>
      </c>
      <c r="AB60" s="14"/>
      <c r="AC60" s="17">
        <v>3.1741999999999999</v>
      </c>
      <c r="AD60" s="9" t="s">
        <v>26</v>
      </c>
      <c r="AE60" s="22">
        <v>0.44477</v>
      </c>
      <c r="AF60" s="22">
        <v>0.52449500000000004</v>
      </c>
      <c r="AG60" s="13"/>
      <c r="AH60" s="22">
        <v>4.8071999999999999</v>
      </c>
      <c r="AI60" s="9" t="s">
        <v>26</v>
      </c>
      <c r="AJ60" s="22">
        <v>0.69013000000000002</v>
      </c>
      <c r="AK60" s="22">
        <v>4.5005899999999999</v>
      </c>
      <c r="AL60" s="13"/>
      <c r="AM60" s="22">
        <v>6.2184999999999997</v>
      </c>
      <c r="AN60" s="9" t="s">
        <v>26</v>
      </c>
      <c r="AO60" s="22">
        <v>0.30005999999999999</v>
      </c>
      <c r="AP60" s="22">
        <v>1.57457</v>
      </c>
      <c r="AQ60" s="13"/>
      <c r="AR60" s="22">
        <v>5.8823999999999996</v>
      </c>
      <c r="AS60" s="9" t="s">
        <v>26</v>
      </c>
      <c r="AT60" s="22">
        <v>0.69525999999999999</v>
      </c>
      <c r="AU60" s="22">
        <v>1.8324</v>
      </c>
      <c r="AV60" s="13"/>
      <c r="AW60" s="22">
        <v>15.227</v>
      </c>
      <c r="AX60" s="9" t="s">
        <v>26</v>
      </c>
      <c r="AY60" s="22">
        <v>3.7782</v>
      </c>
      <c r="AZ60" s="22">
        <v>6.4879600000000002</v>
      </c>
      <c r="BA60" s="13"/>
      <c r="BB60" s="22">
        <v>1.3341000000000001</v>
      </c>
      <c r="BC60" s="9" t="s">
        <v>26</v>
      </c>
      <c r="BD60" s="22">
        <v>0.28366000000000002</v>
      </c>
      <c r="BE60" s="22">
        <v>0.55605099999999996</v>
      </c>
      <c r="BF60" s="13"/>
      <c r="BG60" s="22">
        <v>15.867000000000001</v>
      </c>
      <c r="BH60" s="9" t="s">
        <v>26</v>
      </c>
      <c r="BI60" s="22">
        <v>3.3136999999999999</v>
      </c>
      <c r="BJ60" s="23">
        <v>8.6307299999999998</v>
      </c>
    </row>
    <row r="61" spans="1:62" ht="15" thickBot="1" x14ac:dyDescent="0.4">
      <c r="A61" s="13" t="s">
        <v>128</v>
      </c>
      <c r="B61" s="13"/>
      <c r="C61" s="13" t="s">
        <v>42</v>
      </c>
      <c r="D61" s="13" t="s">
        <v>76</v>
      </c>
      <c r="E61" s="13">
        <v>6.6911999999999999E-2</v>
      </c>
      <c r="F61" s="21">
        <v>44860</v>
      </c>
      <c r="G61" s="35">
        <v>1.0760532407407408</v>
      </c>
      <c r="H61" s="35"/>
      <c r="I61" s="36">
        <v>19.795999999999999</v>
      </c>
      <c r="J61" s="37" t="s">
        <v>26</v>
      </c>
      <c r="K61" s="36">
        <v>5.2043999999999997</v>
      </c>
      <c r="L61" s="36">
        <v>9.0826899999999995</v>
      </c>
      <c r="M61" s="35"/>
      <c r="N61" s="36">
        <v>33.366</v>
      </c>
      <c r="O61" s="37" t="s">
        <v>26</v>
      </c>
      <c r="P61" s="36">
        <v>1.8858999999999999</v>
      </c>
      <c r="Q61" s="36">
        <v>10.317600000000001</v>
      </c>
      <c r="R61" s="35"/>
      <c r="S61" s="37"/>
      <c r="T61" s="37" t="s">
        <v>26</v>
      </c>
      <c r="U61" s="37"/>
      <c r="V61" s="36">
        <v>0.63463899999999995</v>
      </c>
      <c r="W61" s="35"/>
      <c r="X61" s="37"/>
      <c r="Y61" s="37" t="s">
        <v>26</v>
      </c>
      <c r="Z61" s="37"/>
      <c r="AA61" s="36">
        <v>2.4820700000000002</v>
      </c>
      <c r="AB61" s="35"/>
      <c r="AC61" s="36">
        <v>2.4054000000000002</v>
      </c>
      <c r="AD61" s="9" t="s">
        <v>26</v>
      </c>
      <c r="AE61" s="22">
        <v>0.17665</v>
      </c>
      <c r="AF61" s="22">
        <v>0.66572200000000004</v>
      </c>
      <c r="AG61" s="13"/>
      <c r="AH61" s="9"/>
      <c r="AI61" s="9" t="s">
        <v>26</v>
      </c>
      <c r="AJ61" s="9"/>
      <c r="AK61" s="22">
        <v>8.5110600000000005</v>
      </c>
      <c r="AL61" s="13"/>
      <c r="AM61" s="22">
        <v>2.8746</v>
      </c>
      <c r="AN61" s="9" t="s">
        <v>26</v>
      </c>
      <c r="AO61" s="22">
        <v>1.1176999999999999</v>
      </c>
      <c r="AP61" s="22">
        <v>1.86538</v>
      </c>
      <c r="AQ61" s="13"/>
      <c r="AR61" s="22">
        <v>1.8907</v>
      </c>
      <c r="AS61" s="9" t="s">
        <v>26</v>
      </c>
      <c r="AT61" s="22">
        <v>0.89578999999999998</v>
      </c>
      <c r="AU61" s="22">
        <v>2.19556</v>
      </c>
      <c r="AV61" s="13"/>
      <c r="AW61" s="22">
        <v>18.817</v>
      </c>
      <c r="AX61" s="9" t="s">
        <v>26</v>
      </c>
      <c r="AY61" s="22">
        <v>2.2503000000000002</v>
      </c>
      <c r="AZ61" s="22">
        <v>15.773300000000001</v>
      </c>
      <c r="BA61" s="13"/>
      <c r="BB61" s="22">
        <v>1.0688</v>
      </c>
      <c r="BC61" s="9" t="s">
        <v>26</v>
      </c>
      <c r="BD61" s="22">
        <v>0.11964</v>
      </c>
      <c r="BE61" s="22">
        <v>0.61492400000000003</v>
      </c>
      <c r="BF61" s="13"/>
      <c r="BG61" s="9"/>
      <c r="BH61" s="9" t="s">
        <v>26</v>
      </c>
      <c r="BI61" s="9"/>
      <c r="BJ61" s="23">
        <v>11.263199999999999</v>
      </c>
    </row>
    <row r="62" spans="1:62" ht="15" thickBot="1" x14ac:dyDescent="0.4">
      <c r="A62" s="13" t="s">
        <v>129</v>
      </c>
      <c r="B62" s="13"/>
      <c r="C62" s="13" t="s">
        <v>42</v>
      </c>
      <c r="D62" s="13" t="s">
        <v>76</v>
      </c>
      <c r="E62" s="13">
        <v>7.0348999999999995E-2</v>
      </c>
      <c r="F62" s="21">
        <v>44861</v>
      </c>
      <c r="G62" s="30">
        <v>1.0129166666666667</v>
      </c>
      <c r="H62" s="9"/>
      <c r="I62" s="22">
        <v>19.466000000000001</v>
      </c>
      <c r="J62" s="13" t="s">
        <v>26</v>
      </c>
      <c r="K62" s="23">
        <v>5.0868000000000002</v>
      </c>
      <c r="L62" s="22">
        <v>8.1427200000000006</v>
      </c>
      <c r="M62" s="13"/>
      <c r="N62" s="23">
        <v>30.859000000000002</v>
      </c>
      <c r="O62" s="9" t="s">
        <v>26</v>
      </c>
      <c r="P62" s="25">
        <v>1.8582000000000001</v>
      </c>
      <c r="Q62" s="23">
        <v>11.928900000000001</v>
      </c>
      <c r="R62" s="9"/>
      <c r="S62" s="13"/>
      <c r="T62" s="12" t="s">
        <v>26</v>
      </c>
      <c r="U62" s="9"/>
      <c r="V62" s="46">
        <v>0.63269500000000001</v>
      </c>
      <c r="W62" s="12"/>
      <c r="X62" s="9"/>
      <c r="Y62" s="13" t="s">
        <v>26</v>
      </c>
      <c r="Z62" s="12"/>
      <c r="AA62" s="22">
        <v>2.35514</v>
      </c>
      <c r="AB62" s="13"/>
      <c r="AC62" s="23">
        <v>2.9335</v>
      </c>
      <c r="AD62" s="9" t="s">
        <v>26</v>
      </c>
      <c r="AE62" s="22">
        <v>0.18668000000000001</v>
      </c>
      <c r="AF62" s="22">
        <v>0.65202499999999997</v>
      </c>
      <c r="AG62" s="13"/>
      <c r="AH62" s="9"/>
      <c r="AI62" s="9" t="s">
        <v>26</v>
      </c>
      <c r="AJ62" s="9"/>
      <c r="AK62" s="22">
        <v>8.3543199999999995</v>
      </c>
      <c r="AL62" s="13"/>
      <c r="AM62" s="22">
        <v>4.6515000000000004</v>
      </c>
      <c r="AN62" s="9" t="s">
        <v>26</v>
      </c>
      <c r="AO62" s="22">
        <v>1.1377999999999999</v>
      </c>
      <c r="AP62" s="22">
        <v>1.8886400000000001</v>
      </c>
      <c r="AQ62" s="13"/>
      <c r="AR62" s="22">
        <v>3.4331999999999998</v>
      </c>
      <c r="AS62" s="9" t="s">
        <v>26</v>
      </c>
      <c r="AT62" s="22">
        <v>0.46450000000000002</v>
      </c>
      <c r="AU62" s="22">
        <v>2.0785399999999998</v>
      </c>
      <c r="AV62" s="13"/>
      <c r="AW62" s="22">
        <v>12.384</v>
      </c>
      <c r="AX62" s="9" t="s">
        <v>26</v>
      </c>
      <c r="AY62" s="22">
        <v>4.8544999999999998</v>
      </c>
      <c r="AZ62" s="22">
        <v>8.9987100000000009</v>
      </c>
      <c r="BA62" s="13"/>
      <c r="BB62" s="22">
        <v>0.73441000000000001</v>
      </c>
      <c r="BC62" s="9" t="s">
        <v>26</v>
      </c>
      <c r="BD62" s="22">
        <v>0.10943</v>
      </c>
      <c r="BE62" s="22">
        <v>0.67818699999999998</v>
      </c>
      <c r="BF62" s="13"/>
      <c r="BG62" s="22">
        <v>16.635999999999999</v>
      </c>
      <c r="BH62" s="9" t="s">
        <v>26</v>
      </c>
      <c r="BI62" s="22">
        <v>5.0045999999999999</v>
      </c>
      <c r="BJ62" s="23">
        <v>10.245100000000001</v>
      </c>
    </row>
    <row r="63" spans="1:62" ht="15" thickBot="1" x14ac:dyDescent="0.4">
      <c r="A63" s="13" t="s">
        <v>130</v>
      </c>
      <c r="B63" s="13"/>
      <c r="C63" s="13" t="s">
        <v>42</v>
      </c>
      <c r="D63" s="13" t="s">
        <v>76</v>
      </c>
      <c r="E63" s="13">
        <v>6.5232999999999999E-2</v>
      </c>
      <c r="F63" s="21">
        <v>44865</v>
      </c>
      <c r="G63" s="31">
        <v>0.93994212962962964</v>
      </c>
      <c r="H63" s="10"/>
      <c r="I63" s="18">
        <v>31.030999999999999</v>
      </c>
      <c r="J63" s="11" t="s">
        <v>26</v>
      </c>
      <c r="K63" s="19">
        <v>8.0680999999999994</v>
      </c>
      <c r="L63" s="18">
        <v>7.8769099999999996</v>
      </c>
      <c r="M63" s="11"/>
      <c r="N63" s="19">
        <v>37.015999999999998</v>
      </c>
      <c r="O63" s="10" t="s">
        <v>26</v>
      </c>
      <c r="P63" s="26">
        <v>2.101</v>
      </c>
      <c r="Q63" s="19">
        <v>12.4688</v>
      </c>
      <c r="R63" s="10"/>
      <c r="S63" s="11"/>
      <c r="T63" s="24" t="s">
        <v>26</v>
      </c>
      <c r="U63" s="10"/>
      <c r="V63" s="45">
        <v>0.70979499999999995</v>
      </c>
      <c r="W63" s="24"/>
      <c r="X63" s="18">
        <v>2.0924</v>
      </c>
      <c r="Y63" s="11" t="s">
        <v>26</v>
      </c>
      <c r="Z63" s="19">
        <v>0.32813999999999999</v>
      </c>
      <c r="AA63" s="18">
        <v>2.2520899999999999</v>
      </c>
      <c r="AB63" s="11"/>
      <c r="AC63" s="19">
        <v>2.5684999999999998</v>
      </c>
      <c r="AD63" s="9" t="s">
        <v>26</v>
      </c>
      <c r="AE63" s="22">
        <v>0.19361999999999999</v>
      </c>
      <c r="AF63" s="22">
        <v>0.73597999999999997</v>
      </c>
      <c r="AG63" s="13"/>
      <c r="AH63" s="9"/>
      <c r="AI63" s="9" t="s">
        <v>26</v>
      </c>
      <c r="AJ63" s="9"/>
      <c r="AK63" s="22">
        <v>9.5094999999999992</v>
      </c>
      <c r="AL63" s="13"/>
      <c r="AM63" s="22">
        <v>3.6930999999999998</v>
      </c>
      <c r="AN63" s="9" t="s">
        <v>26</v>
      </c>
      <c r="AO63" s="22">
        <v>0.40287000000000001</v>
      </c>
      <c r="AP63" s="22">
        <v>2.3385600000000002</v>
      </c>
      <c r="AQ63" s="13"/>
      <c r="AR63" s="22">
        <v>3.0771999999999999</v>
      </c>
      <c r="AS63" s="9" t="s">
        <v>26</v>
      </c>
      <c r="AT63" s="22">
        <v>0.50722999999999996</v>
      </c>
      <c r="AU63" s="22">
        <v>2.3182800000000001</v>
      </c>
      <c r="AV63" s="13"/>
      <c r="AW63" s="9"/>
      <c r="AX63" s="9" t="s">
        <v>26</v>
      </c>
      <c r="AY63" s="9"/>
      <c r="AZ63" s="22">
        <v>18.602499999999999</v>
      </c>
      <c r="BA63" s="13"/>
      <c r="BB63" s="22">
        <v>0.51475000000000004</v>
      </c>
      <c r="BC63" s="9" t="s">
        <v>26</v>
      </c>
      <c r="BD63" s="22">
        <v>0.10662000000000001</v>
      </c>
      <c r="BE63" s="22">
        <v>0.58881399999999995</v>
      </c>
      <c r="BF63" s="13"/>
      <c r="BG63" s="9"/>
      <c r="BH63" s="9" t="s">
        <v>26</v>
      </c>
      <c r="BI63" s="9"/>
      <c r="BJ63" s="23">
        <v>12.2845</v>
      </c>
    </row>
    <row r="64" spans="1:62" ht="15.5" customHeight="1" thickBot="1" x14ac:dyDescent="0.4">
      <c r="A64" s="13" t="s">
        <v>131</v>
      </c>
      <c r="B64" s="13"/>
      <c r="C64" s="13" t="s">
        <v>42</v>
      </c>
      <c r="D64" s="13" t="s">
        <v>76</v>
      </c>
      <c r="E64" s="13">
        <v>6.7200999999999997E-2</v>
      </c>
      <c r="F64" s="21">
        <v>44866</v>
      </c>
      <c r="G64" s="42">
        <v>0.99543981481481492</v>
      </c>
      <c r="H64" s="15"/>
      <c r="I64" s="16">
        <v>32.314999999999998</v>
      </c>
      <c r="J64" s="14" t="s">
        <v>26</v>
      </c>
      <c r="K64" s="17">
        <v>7.4802</v>
      </c>
      <c r="L64" s="16">
        <v>8.1926900000000007</v>
      </c>
      <c r="M64" s="14"/>
      <c r="N64" s="17">
        <v>43.21</v>
      </c>
      <c r="O64" s="15" t="s">
        <v>26</v>
      </c>
      <c r="P64" s="28">
        <v>2.1137000000000001</v>
      </c>
      <c r="Q64" s="17">
        <v>12.2865</v>
      </c>
      <c r="R64" s="15"/>
      <c r="S64" s="14"/>
      <c r="T64" s="27" t="s">
        <v>26</v>
      </c>
      <c r="U64" s="15"/>
      <c r="V64" s="44">
        <v>0.66302099999999997</v>
      </c>
      <c r="W64" s="27"/>
      <c r="X64" s="16">
        <v>1.7282999999999999</v>
      </c>
      <c r="Y64" s="14" t="s">
        <v>26</v>
      </c>
      <c r="Z64" s="17">
        <v>21.294</v>
      </c>
      <c r="AA64" s="16">
        <v>1.5841499999999999</v>
      </c>
      <c r="AB64" s="14"/>
      <c r="AC64" s="17">
        <v>2.2082999999999999</v>
      </c>
      <c r="AD64" s="9" t="s">
        <v>26</v>
      </c>
      <c r="AE64" s="22">
        <v>0.17832000000000001</v>
      </c>
      <c r="AF64" s="22">
        <v>0.725553</v>
      </c>
      <c r="AG64" s="13"/>
      <c r="AH64" s="9"/>
      <c r="AI64" s="9" t="s">
        <v>26</v>
      </c>
      <c r="AJ64" s="9"/>
      <c r="AK64" s="22">
        <v>8.9173100000000005</v>
      </c>
      <c r="AL64" s="13"/>
      <c r="AM64" s="22">
        <v>2.8178999999999998</v>
      </c>
      <c r="AN64" s="9" t="s">
        <v>26</v>
      </c>
      <c r="AO64" s="22">
        <v>0.37694</v>
      </c>
      <c r="AP64" s="22">
        <v>2.2843399999999998</v>
      </c>
      <c r="AQ64" s="13"/>
      <c r="AR64" s="22">
        <v>3.4621</v>
      </c>
      <c r="AS64" s="9" t="s">
        <v>26</v>
      </c>
      <c r="AT64" s="22">
        <v>0.98143999999999998</v>
      </c>
      <c r="AU64" s="22">
        <v>2.1888700000000001</v>
      </c>
      <c r="AV64" s="13"/>
      <c r="AW64" s="22">
        <v>19.225000000000001</v>
      </c>
      <c r="AX64" s="9" t="s">
        <v>26</v>
      </c>
      <c r="AY64" s="22">
        <v>2.3592</v>
      </c>
      <c r="AZ64" s="22">
        <v>16.383700000000001</v>
      </c>
      <c r="BA64" s="13"/>
      <c r="BB64" s="22">
        <v>0.67666000000000004</v>
      </c>
      <c r="BC64" s="9" t="s">
        <v>26</v>
      </c>
      <c r="BD64" s="22">
        <v>0.11036</v>
      </c>
      <c r="BE64" s="22">
        <v>0.58139200000000002</v>
      </c>
      <c r="BF64" s="13"/>
      <c r="BG64" s="9"/>
      <c r="BH64" s="9" t="s">
        <v>26</v>
      </c>
      <c r="BI64" s="9"/>
      <c r="BJ64" s="23">
        <v>11.676399999999999</v>
      </c>
    </row>
    <row r="65" spans="1:62" ht="15" thickBot="1" x14ac:dyDescent="0.4">
      <c r="A65" s="13" t="s">
        <v>132</v>
      </c>
      <c r="B65" s="13"/>
      <c r="C65" s="13" t="s">
        <v>42</v>
      </c>
      <c r="D65" s="13" t="s">
        <v>76</v>
      </c>
      <c r="E65" s="13">
        <v>6.6133999999999998E-2</v>
      </c>
      <c r="F65" s="21">
        <v>44868</v>
      </c>
      <c r="G65" s="47">
        <v>1.0815393518518519</v>
      </c>
      <c r="H65" s="37"/>
      <c r="I65" s="36">
        <v>28.305</v>
      </c>
      <c r="J65" s="35" t="s">
        <v>26</v>
      </c>
      <c r="K65" s="48">
        <v>5.7458</v>
      </c>
      <c r="L65" s="36">
        <v>9.4375300000000006</v>
      </c>
      <c r="M65" s="35"/>
      <c r="N65" s="48">
        <v>34.027999999999999</v>
      </c>
      <c r="O65" s="37" t="s">
        <v>26</v>
      </c>
      <c r="P65" s="38">
        <v>1.9167000000000001</v>
      </c>
      <c r="Q65" s="48">
        <v>11.959199999999999</v>
      </c>
      <c r="R65" s="37"/>
      <c r="S65" s="35"/>
      <c r="T65" s="43" t="s">
        <v>26</v>
      </c>
      <c r="U65" s="37"/>
      <c r="V65" s="49">
        <v>0.62836800000000004</v>
      </c>
      <c r="W65" s="43"/>
      <c r="X65" s="36">
        <v>1.3053999999999999</v>
      </c>
      <c r="Y65" s="35" t="s">
        <v>26</v>
      </c>
      <c r="Z65" s="48">
        <v>0.26318999999999998</v>
      </c>
      <c r="AA65" s="36">
        <v>2.1844899999999998</v>
      </c>
      <c r="AB65" s="35"/>
      <c r="AC65" s="48">
        <v>1.4709000000000001</v>
      </c>
      <c r="AD65" s="10" t="s">
        <v>26</v>
      </c>
      <c r="AE65" s="18">
        <v>0.15631</v>
      </c>
      <c r="AF65" s="18">
        <v>0.69652199999999997</v>
      </c>
      <c r="AG65" s="11"/>
      <c r="AH65" s="10"/>
      <c r="AI65" s="10" t="s">
        <v>26</v>
      </c>
      <c r="AJ65" s="10"/>
      <c r="AK65" s="18">
        <v>8.3511399999999991</v>
      </c>
      <c r="AL65" s="11"/>
      <c r="AM65" s="18">
        <v>3.3555000000000001</v>
      </c>
      <c r="AN65" s="10" t="s">
        <v>26</v>
      </c>
      <c r="AO65" s="18">
        <v>0.36042999999999997</v>
      </c>
      <c r="AP65" s="18">
        <v>2.01885</v>
      </c>
      <c r="AQ65" s="11"/>
      <c r="AR65" s="18">
        <v>3.1968000000000001</v>
      </c>
      <c r="AS65" s="10" t="s">
        <v>26</v>
      </c>
      <c r="AT65" s="18">
        <v>0.48675000000000002</v>
      </c>
      <c r="AU65" s="18">
        <v>2.12541</v>
      </c>
      <c r="AV65" s="11"/>
      <c r="AW65" s="18">
        <v>15.337999999999999</v>
      </c>
      <c r="AX65" s="10" t="s">
        <v>26</v>
      </c>
      <c r="AY65" s="18">
        <v>2.2381000000000002</v>
      </c>
      <c r="AZ65" s="18">
        <v>15.7948</v>
      </c>
      <c r="BA65" s="11"/>
      <c r="BB65" s="18">
        <v>0.64886999999999995</v>
      </c>
      <c r="BC65" s="10" t="s">
        <v>26</v>
      </c>
      <c r="BD65" s="18">
        <v>0.10007000000000001</v>
      </c>
      <c r="BE65" s="18">
        <v>0.51068199999999997</v>
      </c>
      <c r="BF65" s="11"/>
      <c r="BG65" s="18">
        <v>14.206</v>
      </c>
      <c r="BH65" s="10" t="s">
        <v>26</v>
      </c>
      <c r="BI65" s="18">
        <v>5.1276000000000002</v>
      </c>
      <c r="BJ65" s="19">
        <v>10.020300000000001</v>
      </c>
    </row>
    <row r="66" spans="1:62" ht="15" thickBot="1" x14ac:dyDescent="0.4">
      <c r="A66" s="10" t="s">
        <v>133</v>
      </c>
      <c r="B66" s="10"/>
      <c r="C66" s="11" t="s">
        <v>42</v>
      </c>
      <c r="D66" s="11" t="s">
        <v>76</v>
      </c>
      <c r="E66" s="11">
        <v>6.4642000000000005E-2</v>
      </c>
      <c r="F66" s="20">
        <v>44873</v>
      </c>
      <c r="G66" s="30">
        <v>0.93921296296296297</v>
      </c>
      <c r="H66" s="9"/>
      <c r="I66" s="22">
        <v>118.71</v>
      </c>
      <c r="J66" s="13" t="s">
        <v>26</v>
      </c>
      <c r="K66" s="23">
        <v>9.9445999999999994</v>
      </c>
      <c r="L66" s="22">
        <v>10.831300000000001</v>
      </c>
      <c r="M66" s="13"/>
      <c r="N66" s="23">
        <v>25.577000000000002</v>
      </c>
      <c r="O66" s="9" t="s">
        <v>26</v>
      </c>
      <c r="P66" s="25">
        <v>2.0661999999999998</v>
      </c>
      <c r="Q66" s="23">
        <v>13.3598</v>
      </c>
      <c r="R66" s="9"/>
      <c r="S66" s="13"/>
      <c r="T66" s="12" t="s">
        <v>26</v>
      </c>
      <c r="U66" s="9"/>
      <c r="V66" s="46">
        <v>0.75263999999999998</v>
      </c>
      <c r="W66" s="12"/>
      <c r="X66" s="22">
        <v>8.3612000000000002</v>
      </c>
      <c r="Y66" s="13" t="s">
        <v>26</v>
      </c>
      <c r="Z66" s="23">
        <v>1.702</v>
      </c>
      <c r="AA66" s="22">
        <v>3.0630500000000001</v>
      </c>
      <c r="AB66" s="13"/>
      <c r="AC66" s="23">
        <v>10.007999999999999</v>
      </c>
      <c r="AD66" s="15" t="s">
        <v>26</v>
      </c>
      <c r="AE66" s="16">
        <v>0.41213</v>
      </c>
      <c r="AF66" s="16">
        <v>0.79974500000000004</v>
      </c>
      <c r="AG66" s="14"/>
      <c r="AH66" s="16">
        <v>9.5140999999999991</v>
      </c>
      <c r="AI66" s="15" t="s">
        <v>26</v>
      </c>
      <c r="AJ66" s="16">
        <v>1.2961</v>
      </c>
      <c r="AK66" s="16">
        <v>6.8751499999999997</v>
      </c>
      <c r="AL66" s="14"/>
      <c r="AM66" s="16">
        <v>11.99</v>
      </c>
      <c r="AN66" s="15" t="s">
        <v>26</v>
      </c>
      <c r="AO66" s="16">
        <v>1.3861000000000001</v>
      </c>
      <c r="AP66" s="16">
        <v>2.4271099999999999</v>
      </c>
      <c r="AQ66" s="14"/>
      <c r="AR66" s="16">
        <v>12.464</v>
      </c>
      <c r="AS66" s="15" t="s">
        <v>26</v>
      </c>
      <c r="AT66" s="16">
        <v>1.1889000000000001</v>
      </c>
      <c r="AU66" s="16">
        <v>2.4471500000000002</v>
      </c>
      <c r="AV66" s="14"/>
      <c r="AW66" s="16">
        <v>31.887</v>
      </c>
      <c r="AX66" s="15" t="s">
        <v>26</v>
      </c>
      <c r="AY66" s="16">
        <v>2.8696999999999999</v>
      </c>
      <c r="AZ66" s="16">
        <v>20.5382</v>
      </c>
      <c r="BA66" s="14"/>
      <c r="BB66" s="16">
        <v>3.6966999999999999</v>
      </c>
      <c r="BC66" s="15" t="s">
        <v>26</v>
      </c>
      <c r="BD66" s="16">
        <v>0.20966000000000001</v>
      </c>
      <c r="BE66" s="16">
        <v>1.0023899999999999</v>
      </c>
      <c r="BF66" s="14"/>
      <c r="BG66" s="15"/>
      <c r="BH66" s="15" t="s">
        <v>26</v>
      </c>
      <c r="BI66" s="15"/>
      <c r="BJ66" s="17">
        <v>14.2667</v>
      </c>
    </row>
    <row r="67" spans="1:62" ht="15" thickBot="1" x14ac:dyDescent="0.4">
      <c r="G67" s="13"/>
      <c r="H67" s="9"/>
      <c r="I67" s="9"/>
      <c r="J67" s="13"/>
      <c r="K67" s="12"/>
      <c r="L67" s="9"/>
      <c r="M67" s="13"/>
      <c r="N67" s="12"/>
      <c r="O67" s="9"/>
      <c r="P67" s="13"/>
      <c r="Q67" s="12"/>
      <c r="R67" s="9"/>
      <c r="S67" s="13"/>
      <c r="T67" s="12"/>
      <c r="U67" s="9"/>
      <c r="V67" s="13"/>
      <c r="W67" s="12"/>
      <c r="X67" s="9"/>
      <c r="Y67" s="13"/>
      <c r="Z67" s="12"/>
      <c r="AA67" s="9"/>
      <c r="AB67" s="9"/>
      <c r="AC67" s="12"/>
    </row>
    <row r="68" spans="1:62" ht="15" thickBot="1" x14ac:dyDescent="0.4">
      <c r="G68" s="30"/>
      <c r="H68" s="9" t="s">
        <v>18</v>
      </c>
      <c r="I68" s="9" t="s">
        <v>24</v>
      </c>
      <c r="J68" s="13"/>
      <c r="K68" s="12"/>
      <c r="L68" s="9"/>
      <c r="M68" s="13" t="s">
        <v>1</v>
      </c>
      <c r="N68" s="12" t="s">
        <v>23</v>
      </c>
      <c r="O68" s="9"/>
      <c r="P68" s="13"/>
      <c r="Q68" s="12"/>
      <c r="R68" s="9" t="s">
        <v>2</v>
      </c>
      <c r="S68" s="13" t="s">
        <v>41</v>
      </c>
      <c r="T68" s="12"/>
      <c r="U68" s="9"/>
      <c r="V68" s="30"/>
      <c r="W68" s="12" t="s">
        <v>7</v>
      </c>
      <c r="X68" s="9" t="s">
        <v>50</v>
      </c>
      <c r="Y68" s="13"/>
      <c r="Z68" s="12"/>
      <c r="AA68" s="9"/>
      <c r="AB68" s="13" t="s">
        <v>16</v>
      </c>
      <c r="AC68" s="12" t="s">
        <v>51</v>
      </c>
      <c r="AD68" s="9"/>
      <c r="AE68" s="9"/>
      <c r="AF68" s="9"/>
      <c r="AG68" s="13" t="s">
        <v>17</v>
      </c>
      <c r="AH68" s="9" t="s">
        <v>52</v>
      </c>
      <c r="AI68" s="9"/>
      <c r="AJ68" s="9"/>
      <c r="AK68" s="9"/>
      <c r="AL68" s="13" t="s">
        <v>19</v>
      </c>
      <c r="AM68" s="9" t="s">
        <v>53</v>
      </c>
      <c r="AN68" s="9"/>
      <c r="AO68" s="9"/>
      <c r="AP68" s="9"/>
      <c r="AQ68" s="13" t="s">
        <v>21</v>
      </c>
      <c r="AR68" s="9" t="s">
        <v>54</v>
      </c>
      <c r="AS68" s="9"/>
      <c r="AT68" s="9"/>
      <c r="AU68" s="9"/>
      <c r="AV68" s="13" t="s">
        <v>56</v>
      </c>
      <c r="AW68" s="9" t="s">
        <v>57</v>
      </c>
      <c r="AX68" s="9"/>
      <c r="AY68" s="9"/>
      <c r="AZ68" s="9"/>
      <c r="BA68" s="13" t="s">
        <v>60</v>
      </c>
      <c r="BB68" s="9" t="s">
        <v>61</v>
      </c>
      <c r="BC68" s="9"/>
      <c r="BD68" s="9"/>
      <c r="BE68" s="9"/>
      <c r="BF68" s="13" t="s">
        <v>62</v>
      </c>
      <c r="BG68" s="9" t="s">
        <v>63</v>
      </c>
      <c r="BH68" s="9"/>
      <c r="BI68" s="9"/>
      <c r="BJ68" s="12"/>
    </row>
    <row r="69" spans="1:62" ht="15" thickBot="1" x14ac:dyDescent="0.4">
      <c r="A69" s="13" t="s">
        <v>30</v>
      </c>
      <c r="B69" s="13"/>
      <c r="C69" s="13" t="s">
        <v>29</v>
      </c>
      <c r="D69" s="13" t="s">
        <v>31</v>
      </c>
      <c r="E69" s="13" t="s">
        <v>27</v>
      </c>
      <c r="F69" s="13" t="s">
        <v>25</v>
      </c>
      <c r="G69" s="30" t="s">
        <v>28</v>
      </c>
      <c r="H69" s="9" t="s">
        <v>33</v>
      </c>
      <c r="I69" s="9" t="s">
        <v>34</v>
      </c>
      <c r="J69" s="13"/>
      <c r="K69" s="12" t="s">
        <v>35</v>
      </c>
      <c r="L69" s="9" t="s">
        <v>36</v>
      </c>
      <c r="M69" s="13" t="s">
        <v>33</v>
      </c>
      <c r="N69" s="12" t="s">
        <v>34</v>
      </c>
      <c r="O69" s="9"/>
      <c r="P69" s="13" t="s">
        <v>35</v>
      </c>
      <c r="Q69" s="12" t="s">
        <v>36</v>
      </c>
      <c r="R69" s="9" t="s">
        <v>33</v>
      </c>
      <c r="S69" s="13" t="s">
        <v>34</v>
      </c>
      <c r="T69" s="12"/>
      <c r="U69" s="9" t="s">
        <v>35</v>
      </c>
      <c r="V69" s="30" t="s">
        <v>36</v>
      </c>
      <c r="W69" s="12" t="s">
        <v>33</v>
      </c>
      <c r="X69" s="9" t="s">
        <v>34</v>
      </c>
      <c r="Y69" s="13"/>
      <c r="Z69" s="12" t="s">
        <v>35</v>
      </c>
      <c r="AA69" s="9" t="s">
        <v>36</v>
      </c>
      <c r="AB69" s="13" t="s">
        <v>33</v>
      </c>
      <c r="AC69" s="12" t="s">
        <v>34</v>
      </c>
      <c r="AD69" s="9"/>
      <c r="AE69" s="9" t="s">
        <v>35</v>
      </c>
      <c r="AF69" s="9" t="s">
        <v>36</v>
      </c>
      <c r="AG69" s="13" t="s">
        <v>33</v>
      </c>
      <c r="AH69" s="9" t="s">
        <v>34</v>
      </c>
      <c r="AI69" s="9"/>
      <c r="AJ69" s="9" t="s">
        <v>35</v>
      </c>
      <c r="AK69" s="9" t="s">
        <v>36</v>
      </c>
      <c r="AL69" s="13" t="s">
        <v>33</v>
      </c>
      <c r="AM69" s="9" t="s">
        <v>34</v>
      </c>
      <c r="AN69" s="9"/>
      <c r="AO69" s="9" t="s">
        <v>35</v>
      </c>
      <c r="AP69" s="9" t="s">
        <v>36</v>
      </c>
      <c r="AQ69" s="13" t="s">
        <v>33</v>
      </c>
      <c r="AR69" s="9" t="s">
        <v>34</v>
      </c>
      <c r="AS69" s="9"/>
      <c r="AT69" s="9" t="s">
        <v>35</v>
      </c>
      <c r="AU69" s="9" t="s">
        <v>36</v>
      </c>
      <c r="AV69" s="13" t="s">
        <v>33</v>
      </c>
      <c r="AW69" s="9" t="s">
        <v>34</v>
      </c>
      <c r="AX69" s="9"/>
      <c r="AY69" s="9" t="s">
        <v>35</v>
      </c>
      <c r="AZ69" s="9" t="s">
        <v>36</v>
      </c>
      <c r="BA69" s="13" t="s">
        <v>33</v>
      </c>
      <c r="BB69" s="9" t="s">
        <v>34</v>
      </c>
      <c r="BC69" s="9"/>
      <c r="BD69" s="9" t="s">
        <v>35</v>
      </c>
      <c r="BE69" s="9" t="s">
        <v>36</v>
      </c>
      <c r="BF69" s="13" t="s">
        <v>33</v>
      </c>
      <c r="BG69" s="9" t="s">
        <v>34</v>
      </c>
      <c r="BH69" s="9"/>
      <c r="BI69" s="9" t="s">
        <v>35</v>
      </c>
      <c r="BJ69" s="12" t="s">
        <v>36</v>
      </c>
    </row>
    <row r="70" spans="1:62" ht="15" thickBot="1" x14ac:dyDescent="0.4">
      <c r="A70" s="13" t="s">
        <v>64</v>
      </c>
      <c r="B70" s="13"/>
      <c r="C70" s="13" t="s">
        <v>58</v>
      </c>
      <c r="D70" s="13" t="s">
        <v>65</v>
      </c>
      <c r="E70" s="13">
        <v>6.7449999999999996E-2</v>
      </c>
      <c r="F70" s="21">
        <v>44831</v>
      </c>
      <c r="G70" s="30">
        <v>1.8365625000000001</v>
      </c>
      <c r="H70" s="9"/>
      <c r="I70" s="22">
        <v>57.58</v>
      </c>
      <c r="J70" s="13" t="s">
        <v>26</v>
      </c>
      <c r="K70" s="23">
        <v>3.7456999999999998</v>
      </c>
      <c r="L70" s="22">
        <v>6.37087</v>
      </c>
      <c r="M70" s="13"/>
      <c r="N70" s="23">
        <v>35.475000000000001</v>
      </c>
      <c r="O70" s="9" t="s">
        <v>26</v>
      </c>
      <c r="P70" s="25">
        <v>5.4675000000000002</v>
      </c>
      <c r="Q70" s="23">
        <v>15.4472</v>
      </c>
      <c r="R70" s="9"/>
      <c r="S70" s="13"/>
      <c r="T70" s="12" t="s">
        <v>26</v>
      </c>
      <c r="U70" s="9"/>
      <c r="V70" s="46">
        <v>0.86351599999999995</v>
      </c>
      <c r="W70" s="12"/>
      <c r="X70" s="22">
        <v>2.2631999999999999</v>
      </c>
      <c r="Y70" s="13" t="s">
        <v>26</v>
      </c>
      <c r="Z70" s="23">
        <v>0.44851000000000002</v>
      </c>
      <c r="AA70" s="22">
        <v>2.0980099999999999</v>
      </c>
      <c r="AB70" s="13"/>
      <c r="AC70" s="23">
        <v>3.0863999999999998</v>
      </c>
      <c r="AD70" s="9" t="s">
        <v>26</v>
      </c>
      <c r="AE70" s="22">
        <v>0.63653000000000004</v>
      </c>
      <c r="AF70" s="22">
        <v>0.77461899999999995</v>
      </c>
      <c r="AG70" s="13"/>
      <c r="AH70" s="22">
        <v>3.3037000000000001</v>
      </c>
      <c r="AI70" s="9" t="s">
        <v>26</v>
      </c>
      <c r="AJ70" s="22">
        <v>0.53181999999999996</v>
      </c>
      <c r="AK70" s="22">
        <v>5.0949400000000002</v>
      </c>
      <c r="AL70" s="13"/>
      <c r="AM70" s="22">
        <v>6.5309999999999997</v>
      </c>
      <c r="AN70" s="9" t="s">
        <v>26</v>
      </c>
      <c r="AO70" s="22">
        <v>1.0805</v>
      </c>
      <c r="AP70" s="22">
        <v>1.8037000000000001</v>
      </c>
      <c r="AQ70" s="13"/>
      <c r="AR70" s="22">
        <v>6.8452999999999999</v>
      </c>
      <c r="AS70" s="9" t="s">
        <v>26</v>
      </c>
      <c r="AT70" s="22">
        <v>0.43573000000000001</v>
      </c>
      <c r="AU70" s="22">
        <v>1.6086</v>
      </c>
      <c r="AV70" s="13"/>
      <c r="AW70" s="22">
        <v>3.3616000000000001</v>
      </c>
      <c r="AX70" s="9" t="s">
        <v>26</v>
      </c>
      <c r="AY70" s="22">
        <v>3.0981999999999998</v>
      </c>
      <c r="AZ70" s="22">
        <v>10.8507</v>
      </c>
      <c r="BA70" s="13"/>
      <c r="BB70" s="22">
        <v>0.91923999999999995</v>
      </c>
      <c r="BC70" s="9" t="s">
        <v>26</v>
      </c>
      <c r="BD70" s="22">
        <v>0.14271</v>
      </c>
      <c r="BE70" s="22">
        <v>0.717032</v>
      </c>
      <c r="BF70" s="13"/>
      <c r="BG70" s="22">
        <v>16.311</v>
      </c>
      <c r="BH70" s="9" t="s">
        <v>26</v>
      </c>
      <c r="BI70" s="22">
        <v>5.2523999999999997</v>
      </c>
      <c r="BJ70" s="23">
        <v>10.446199999999999</v>
      </c>
    </row>
    <row r="71" spans="1:62" ht="15" thickBot="1" x14ac:dyDescent="0.4">
      <c r="A71" s="13" t="s">
        <v>134</v>
      </c>
      <c r="B71" s="13"/>
      <c r="C71" s="13" t="s">
        <v>58</v>
      </c>
      <c r="D71" s="13" t="s">
        <v>65</v>
      </c>
      <c r="E71" s="13">
        <v>6.0181999999999999E-2</v>
      </c>
      <c r="F71" s="21">
        <v>44868</v>
      </c>
      <c r="G71" s="30">
        <v>1.0556365740740741</v>
      </c>
      <c r="H71" s="9"/>
      <c r="I71" s="22">
        <v>60.393000000000001</v>
      </c>
      <c r="J71" s="13" t="s">
        <v>26</v>
      </c>
      <c r="K71" s="23">
        <v>4.5609000000000002</v>
      </c>
      <c r="L71" s="22">
        <v>10.413600000000001</v>
      </c>
      <c r="M71" s="13"/>
      <c r="N71" s="12"/>
      <c r="O71" s="9" t="s">
        <v>26</v>
      </c>
      <c r="P71" s="13"/>
      <c r="Q71" s="23">
        <v>25.5183</v>
      </c>
      <c r="R71" s="9"/>
      <c r="S71" s="13"/>
      <c r="T71" s="12" t="s">
        <v>26</v>
      </c>
      <c r="U71" s="9"/>
      <c r="V71" s="46">
        <v>1.29152</v>
      </c>
      <c r="W71" s="12"/>
      <c r="X71" s="22">
        <v>0.33703</v>
      </c>
      <c r="Y71" s="13" t="s">
        <v>26</v>
      </c>
      <c r="Z71" s="23">
        <v>2.2776999999999998</v>
      </c>
      <c r="AA71" s="22">
        <v>2.6755300000000002</v>
      </c>
      <c r="AB71" s="13"/>
      <c r="AC71" s="23">
        <v>3.6764999999999999</v>
      </c>
      <c r="AD71" s="9" t="s">
        <v>26</v>
      </c>
      <c r="AE71" s="22">
        <v>0.30414999999999998</v>
      </c>
      <c r="AF71" s="22">
        <v>1.13486</v>
      </c>
      <c r="AG71" s="13"/>
      <c r="AH71" s="9"/>
      <c r="AI71" s="9" t="s">
        <v>26</v>
      </c>
      <c r="AJ71" s="9"/>
      <c r="AK71" s="22">
        <v>15.1922</v>
      </c>
      <c r="AL71" s="13"/>
      <c r="AM71" s="22">
        <v>6.1662999999999997</v>
      </c>
      <c r="AN71" s="9" t="s">
        <v>26</v>
      </c>
      <c r="AO71" s="22">
        <v>0.65891999999999995</v>
      </c>
      <c r="AP71" s="22">
        <v>2.5699100000000001</v>
      </c>
      <c r="AQ71" s="13"/>
      <c r="AR71" s="22">
        <v>6.9795999999999996</v>
      </c>
      <c r="AS71" s="9" t="s">
        <v>26</v>
      </c>
      <c r="AT71" s="22">
        <v>0.59589999999999999</v>
      </c>
      <c r="AU71" s="22">
        <v>2.2222300000000001</v>
      </c>
      <c r="AV71" s="13"/>
      <c r="AW71" s="9"/>
      <c r="AX71" s="9" t="s">
        <v>26</v>
      </c>
      <c r="AY71" s="9"/>
      <c r="AZ71" s="22">
        <v>16.028099999999998</v>
      </c>
      <c r="BA71" s="13"/>
      <c r="BB71" s="22">
        <v>0.82371000000000005</v>
      </c>
      <c r="BC71" s="9" t="s">
        <v>26</v>
      </c>
      <c r="BD71" s="22">
        <v>0.19832</v>
      </c>
      <c r="BE71" s="22">
        <v>0.86111000000000004</v>
      </c>
      <c r="BF71" s="13"/>
      <c r="BG71" s="22">
        <v>9.0965000000000007</v>
      </c>
      <c r="BH71" s="9" t="s">
        <v>26</v>
      </c>
      <c r="BI71" s="22">
        <v>2.5305</v>
      </c>
      <c r="BJ71" s="23">
        <v>13.2128</v>
      </c>
    </row>
    <row r="72" spans="1:62" ht="15" thickBot="1" x14ac:dyDescent="0.4">
      <c r="A72" s="13" t="s">
        <v>135</v>
      </c>
      <c r="B72" s="13"/>
      <c r="C72" s="13" t="s">
        <v>58</v>
      </c>
      <c r="D72" s="13" t="s">
        <v>65</v>
      </c>
      <c r="E72" s="13">
        <v>6.2910999999999995E-2</v>
      </c>
      <c r="F72" s="21">
        <v>44869</v>
      </c>
      <c r="G72" s="31">
        <v>2.8124421296296291</v>
      </c>
      <c r="H72" s="10"/>
      <c r="I72" s="18">
        <v>65.762</v>
      </c>
      <c r="J72" s="11" t="s">
        <v>26</v>
      </c>
      <c r="K72" s="19">
        <v>3.9679000000000002</v>
      </c>
      <c r="L72" s="18">
        <v>6.1274499999999996</v>
      </c>
      <c r="M72" s="11"/>
      <c r="N72" s="19">
        <v>24.846</v>
      </c>
      <c r="O72" s="10" t="s">
        <v>26</v>
      </c>
      <c r="P72" s="26">
        <v>7.4318999999999997</v>
      </c>
      <c r="Q72" s="19">
        <v>12.8842</v>
      </c>
      <c r="R72" s="10"/>
      <c r="S72" s="11"/>
      <c r="T72" s="24" t="s">
        <v>26</v>
      </c>
      <c r="U72" s="10"/>
      <c r="V72" s="45">
        <v>0.74796899999999999</v>
      </c>
      <c r="W72" s="24"/>
      <c r="X72" s="18">
        <v>3.9544999999999999</v>
      </c>
      <c r="Y72" s="11" t="s">
        <v>26</v>
      </c>
      <c r="Z72" s="19">
        <v>1.9035</v>
      </c>
      <c r="AA72" s="18">
        <v>1.81073</v>
      </c>
      <c r="AB72" s="11"/>
      <c r="AC72" s="19">
        <v>3.746</v>
      </c>
      <c r="AD72" s="9" t="s">
        <v>26</v>
      </c>
      <c r="AE72" s="22">
        <v>0.45928999999999998</v>
      </c>
      <c r="AF72" s="22">
        <v>0.68185799999999996</v>
      </c>
      <c r="AG72" s="13"/>
      <c r="AH72" s="9"/>
      <c r="AI72" s="9" t="s">
        <v>26</v>
      </c>
      <c r="AJ72" s="9"/>
      <c r="AK72" s="22">
        <v>8.9425000000000008</v>
      </c>
      <c r="AL72" s="13"/>
      <c r="AM72" s="22">
        <v>8.3053000000000008</v>
      </c>
      <c r="AN72" s="9" t="s">
        <v>26</v>
      </c>
      <c r="AO72" s="22">
        <v>1.0517000000000001</v>
      </c>
      <c r="AP72" s="22">
        <v>1.7078800000000001</v>
      </c>
      <c r="AQ72" s="13"/>
      <c r="AR72" s="22">
        <v>7.7191000000000001</v>
      </c>
      <c r="AS72" s="9" t="s">
        <v>26</v>
      </c>
      <c r="AT72" s="22">
        <v>0.93657000000000001</v>
      </c>
      <c r="AU72" s="22">
        <v>1.4117500000000001</v>
      </c>
      <c r="AV72" s="13"/>
      <c r="AW72" s="22">
        <v>4.3798000000000004</v>
      </c>
      <c r="AX72" s="9" t="s">
        <v>26</v>
      </c>
      <c r="AY72" s="22">
        <v>3.3763000000000001</v>
      </c>
      <c r="AZ72" s="22">
        <v>11.463900000000001</v>
      </c>
      <c r="BA72" s="13"/>
      <c r="BB72" s="22">
        <v>1.0807</v>
      </c>
      <c r="BC72" s="9" t="s">
        <v>26</v>
      </c>
      <c r="BD72" s="22">
        <v>0.13117000000000001</v>
      </c>
      <c r="BE72" s="22">
        <v>0.60743999999999998</v>
      </c>
      <c r="BF72" s="13"/>
      <c r="BG72" s="22">
        <v>15.398999999999999</v>
      </c>
      <c r="BH72" s="9" t="s">
        <v>26</v>
      </c>
      <c r="BI72" s="22">
        <v>4.7835000000000001</v>
      </c>
      <c r="BJ72" s="23">
        <v>10.041700000000001</v>
      </c>
    </row>
    <row r="73" spans="1:62" ht="15" thickBot="1" x14ac:dyDescent="0.4">
      <c r="A73" s="13" t="s">
        <v>136</v>
      </c>
      <c r="B73" s="13"/>
      <c r="C73" s="13" t="s">
        <v>58</v>
      </c>
      <c r="D73" s="13" t="s">
        <v>65</v>
      </c>
      <c r="E73" s="13">
        <v>6.3035999999999995E-2</v>
      </c>
      <c r="F73" s="21">
        <v>44872</v>
      </c>
      <c r="G73" s="42">
        <v>1.0383564814814814</v>
      </c>
      <c r="H73" s="15"/>
      <c r="I73" s="16">
        <v>65.019000000000005</v>
      </c>
      <c r="J73" s="14" t="s">
        <v>26</v>
      </c>
      <c r="K73" s="17">
        <v>10.808</v>
      </c>
      <c r="L73" s="16">
        <v>9.1063799999999997</v>
      </c>
      <c r="M73" s="14"/>
      <c r="N73" s="17">
        <v>27.524000000000001</v>
      </c>
      <c r="O73" s="15" t="s">
        <v>26</v>
      </c>
      <c r="P73" s="28">
        <v>10.789</v>
      </c>
      <c r="Q73" s="17">
        <v>23.1936</v>
      </c>
      <c r="R73" s="15"/>
      <c r="S73" s="14"/>
      <c r="T73" s="27" t="s">
        <v>26</v>
      </c>
      <c r="U73" s="15"/>
      <c r="V73" s="44">
        <v>1.1472100000000001</v>
      </c>
      <c r="W73" s="27"/>
      <c r="X73" s="16">
        <v>2.5678000000000001</v>
      </c>
      <c r="Y73" s="14" t="s">
        <v>26</v>
      </c>
      <c r="Z73" s="17">
        <v>0.64293999999999996</v>
      </c>
      <c r="AA73" s="16">
        <v>2.6269499999999999</v>
      </c>
      <c r="AB73" s="14"/>
      <c r="AC73" s="17">
        <v>2.5190000000000001</v>
      </c>
      <c r="AD73" s="9" t="s">
        <v>26</v>
      </c>
      <c r="AE73" s="22">
        <v>0.27687</v>
      </c>
      <c r="AF73" s="22">
        <v>1.0603499999999999</v>
      </c>
      <c r="AG73" s="13"/>
      <c r="AH73" s="9"/>
      <c r="AI73" s="9" t="s">
        <v>26</v>
      </c>
      <c r="AJ73" s="9"/>
      <c r="AK73" s="22">
        <v>14.702999999999999</v>
      </c>
      <c r="AL73" s="13"/>
      <c r="AM73" s="22">
        <v>6.7652999999999999</v>
      </c>
      <c r="AN73" s="9" t="s">
        <v>26</v>
      </c>
      <c r="AO73" s="22">
        <v>0.62932999999999995</v>
      </c>
      <c r="AP73" s="22">
        <v>2.5324800000000001</v>
      </c>
      <c r="AQ73" s="13"/>
      <c r="AR73" s="22">
        <v>7.0651999999999999</v>
      </c>
      <c r="AS73" s="9" t="s">
        <v>26</v>
      </c>
      <c r="AT73" s="22">
        <v>0.57530000000000003</v>
      </c>
      <c r="AU73" s="22">
        <v>2.03776</v>
      </c>
      <c r="AV73" s="13"/>
      <c r="AW73" s="22">
        <v>18.178999999999998</v>
      </c>
      <c r="AX73" s="9" t="s">
        <v>26</v>
      </c>
      <c r="AY73" s="22">
        <v>10.067</v>
      </c>
      <c r="AZ73" s="22">
        <v>16.0581</v>
      </c>
      <c r="BA73" s="13"/>
      <c r="BB73" s="22">
        <v>0.65481999999999996</v>
      </c>
      <c r="BC73" s="9" t="s">
        <v>26</v>
      </c>
      <c r="BD73" s="22">
        <v>0.19087000000000001</v>
      </c>
      <c r="BE73" s="22">
        <v>0.87952300000000005</v>
      </c>
      <c r="BF73" s="13"/>
      <c r="BG73" s="9"/>
      <c r="BH73" s="9" t="s">
        <v>26</v>
      </c>
      <c r="BI73" s="9"/>
      <c r="BJ73" s="23">
        <v>16.760400000000001</v>
      </c>
    </row>
    <row r="74" spans="1:62" ht="15" thickBot="1" x14ac:dyDescent="0.4">
      <c r="A74" s="13" t="s">
        <v>137</v>
      </c>
      <c r="B74" s="13"/>
      <c r="C74" s="13" t="s">
        <v>58</v>
      </c>
      <c r="D74" s="13" t="s">
        <v>65</v>
      </c>
      <c r="E74" s="13">
        <v>6.2355000000000001E-2</v>
      </c>
      <c r="F74" s="21">
        <v>44873</v>
      </c>
      <c r="G74" s="35">
        <v>0.935613425925926</v>
      </c>
      <c r="H74" s="35"/>
      <c r="I74" s="36">
        <v>56.45</v>
      </c>
      <c r="J74" s="37" t="s">
        <v>26</v>
      </c>
      <c r="K74" s="36">
        <v>4.4687000000000001</v>
      </c>
      <c r="L74" s="36">
        <v>10.1374</v>
      </c>
      <c r="M74" s="35"/>
      <c r="N74" s="36">
        <v>29.154</v>
      </c>
      <c r="O74" s="37" t="s">
        <v>26</v>
      </c>
      <c r="P74" s="36">
        <v>4.4122000000000003</v>
      </c>
      <c r="Q74" s="36">
        <v>32.846800000000002</v>
      </c>
      <c r="R74" s="35"/>
      <c r="S74" s="37"/>
      <c r="T74" s="37" t="s">
        <v>26</v>
      </c>
      <c r="U74" s="37"/>
      <c r="V74" s="36">
        <v>1.2494000000000001</v>
      </c>
      <c r="W74" s="35"/>
      <c r="X74" s="36">
        <v>1.9565999999999999</v>
      </c>
      <c r="Y74" s="37" t="s">
        <v>26</v>
      </c>
      <c r="Z74" s="36">
        <v>1.2407999999999999</v>
      </c>
      <c r="AA74" s="36">
        <v>2.6667000000000001</v>
      </c>
      <c r="AB74" s="35"/>
      <c r="AC74" s="36">
        <v>2.7202000000000002</v>
      </c>
      <c r="AD74" s="9" t="s">
        <v>26</v>
      </c>
      <c r="AE74" s="22">
        <v>0.78466000000000002</v>
      </c>
      <c r="AF74" s="22">
        <v>1.1629100000000001</v>
      </c>
      <c r="AG74" s="13"/>
      <c r="AH74" s="9"/>
      <c r="AI74" s="9" t="s">
        <v>26</v>
      </c>
      <c r="AJ74" s="9"/>
      <c r="AK74" s="22">
        <v>15.731199999999999</v>
      </c>
      <c r="AL74" s="13"/>
      <c r="AM74" s="22">
        <v>6.4371999999999998</v>
      </c>
      <c r="AN74" s="9" t="s">
        <v>26</v>
      </c>
      <c r="AO74" s="22">
        <v>2.2332999999999998</v>
      </c>
      <c r="AP74" s="22">
        <v>2.7429199999999998</v>
      </c>
      <c r="AQ74" s="13"/>
      <c r="AR74" s="22">
        <v>7.1516000000000002</v>
      </c>
      <c r="AS74" s="9" t="s">
        <v>26</v>
      </c>
      <c r="AT74" s="22">
        <v>1.5844</v>
      </c>
      <c r="AU74" s="22">
        <v>2.3250799999999998</v>
      </c>
      <c r="AV74" s="13"/>
      <c r="AW74" s="22">
        <v>0.58640000000000003</v>
      </c>
      <c r="AX74" s="9" t="s">
        <v>26</v>
      </c>
      <c r="AY74" s="22">
        <v>3.452</v>
      </c>
      <c r="AZ74" s="22">
        <v>15.191700000000001</v>
      </c>
      <c r="BA74" s="13"/>
      <c r="BB74" s="22">
        <v>1.2343999999999999</v>
      </c>
      <c r="BC74" s="9" t="s">
        <v>26</v>
      </c>
      <c r="BD74" s="22">
        <v>0.91083999999999998</v>
      </c>
      <c r="BE74" s="22">
        <v>0.857796</v>
      </c>
      <c r="BF74" s="13"/>
      <c r="BG74" s="22">
        <v>18.573</v>
      </c>
      <c r="BH74" s="9" t="s">
        <v>26</v>
      </c>
      <c r="BI74" s="22">
        <v>5.8471000000000002</v>
      </c>
      <c r="BJ74" s="23">
        <v>18.7714</v>
      </c>
    </row>
    <row r="75" spans="1:62" ht="15" thickBot="1" x14ac:dyDescent="0.4">
      <c r="A75" s="13" t="s">
        <v>66</v>
      </c>
      <c r="B75" s="13"/>
      <c r="C75" s="13" t="s">
        <v>58</v>
      </c>
      <c r="D75" s="13" t="s">
        <v>65</v>
      </c>
      <c r="E75" s="13">
        <v>6.8934999999999996E-2</v>
      </c>
      <c r="F75" s="21">
        <v>44833</v>
      </c>
      <c r="G75" s="30">
        <v>1.216238425925926</v>
      </c>
      <c r="H75" s="9"/>
      <c r="I75" s="22">
        <v>58.381999999999998</v>
      </c>
      <c r="J75" s="13" t="s">
        <v>26</v>
      </c>
      <c r="K75" s="23">
        <v>4.1327999999999996</v>
      </c>
      <c r="L75" s="22">
        <v>7.07653</v>
      </c>
      <c r="M75" s="13"/>
      <c r="N75" s="12"/>
      <c r="O75" s="9" t="s">
        <v>26</v>
      </c>
      <c r="P75" s="13"/>
      <c r="Q75" s="23">
        <v>20.558</v>
      </c>
      <c r="R75" s="9"/>
      <c r="S75" s="13"/>
      <c r="T75" s="12" t="s">
        <v>26</v>
      </c>
      <c r="U75" s="9"/>
      <c r="V75" s="46">
        <v>1.00556</v>
      </c>
      <c r="W75" s="12"/>
      <c r="X75" s="22">
        <v>4.4092000000000002</v>
      </c>
      <c r="Y75" s="13" t="s">
        <v>26</v>
      </c>
      <c r="Z75" s="23">
        <v>2.2244999999999999</v>
      </c>
      <c r="AA75" s="22">
        <v>2.1707700000000001</v>
      </c>
      <c r="AB75" s="13"/>
      <c r="AC75" s="23">
        <v>2.7458999999999998</v>
      </c>
      <c r="AD75" s="9" t="s">
        <v>26</v>
      </c>
      <c r="AE75" s="22">
        <v>0.58265</v>
      </c>
      <c r="AF75" s="22">
        <v>0.93904200000000004</v>
      </c>
      <c r="AG75" s="13"/>
      <c r="AH75" s="9"/>
      <c r="AI75" s="9" t="s">
        <v>26</v>
      </c>
      <c r="AJ75" s="9"/>
      <c r="AK75" s="22">
        <v>12.518700000000001</v>
      </c>
      <c r="AL75" s="13"/>
      <c r="AM75" s="22">
        <v>5.4208999999999996</v>
      </c>
      <c r="AN75" s="9" t="s">
        <v>26</v>
      </c>
      <c r="AO75" s="22">
        <v>0.53047</v>
      </c>
      <c r="AP75" s="22">
        <v>2.05775</v>
      </c>
      <c r="AQ75" s="13"/>
      <c r="AR75" s="22">
        <v>6.2499000000000002</v>
      </c>
      <c r="AS75" s="9" t="s">
        <v>26</v>
      </c>
      <c r="AT75" s="22">
        <v>1.1820999999999999</v>
      </c>
      <c r="AU75" s="22">
        <v>1.92967</v>
      </c>
      <c r="AV75" s="13"/>
      <c r="AW75" s="22">
        <v>4.319</v>
      </c>
      <c r="AX75" s="9" t="s">
        <v>26</v>
      </c>
      <c r="AY75" s="22">
        <v>3.3791000000000002</v>
      </c>
      <c r="AZ75" s="22">
        <v>12.255599999999999</v>
      </c>
      <c r="BA75" s="13"/>
      <c r="BB75" s="22">
        <v>1.1718</v>
      </c>
      <c r="BC75" s="9" t="s">
        <v>26</v>
      </c>
      <c r="BD75" s="22">
        <v>0.17551</v>
      </c>
      <c r="BE75" s="22">
        <v>0.77154400000000001</v>
      </c>
      <c r="BF75" s="13"/>
      <c r="BG75" s="22">
        <v>16.167999999999999</v>
      </c>
      <c r="BH75" s="9" t="s">
        <v>26</v>
      </c>
      <c r="BI75" s="22">
        <v>2.3224</v>
      </c>
      <c r="BJ75" s="23">
        <v>13.6685</v>
      </c>
    </row>
    <row r="76" spans="1:62" ht="15" thickBot="1" x14ac:dyDescent="0.4">
      <c r="A76" s="13" t="s">
        <v>67</v>
      </c>
      <c r="B76" s="13"/>
      <c r="C76" s="13" t="s">
        <v>58</v>
      </c>
      <c r="D76" s="13" t="s">
        <v>65</v>
      </c>
      <c r="E76" s="13">
        <v>7.0226999999999998E-2</v>
      </c>
      <c r="F76" s="21">
        <v>44834</v>
      </c>
      <c r="G76" s="30">
        <v>3.7002314814814814</v>
      </c>
      <c r="H76" s="9"/>
      <c r="I76" s="22">
        <v>63.537999999999997</v>
      </c>
      <c r="J76" s="13" t="s">
        <v>26</v>
      </c>
      <c r="K76" s="23">
        <v>3.6680000000000001</v>
      </c>
      <c r="L76" s="22">
        <v>4.5576299999999996</v>
      </c>
      <c r="M76" s="13"/>
      <c r="N76" s="23">
        <v>24.802</v>
      </c>
      <c r="O76" s="9" t="s">
        <v>26</v>
      </c>
      <c r="P76" s="25">
        <v>2.363</v>
      </c>
      <c r="Q76" s="23">
        <v>11.978199999999999</v>
      </c>
      <c r="R76" s="9"/>
      <c r="S76" s="13"/>
      <c r="T76" s="12" t="s">
        <v>26</v>
      </c>
      <c r="U76" s="9"/>
      <c r="V76" s="46">
        <v>0.56573799999999996</v>
      </c>
      <c r="W76" s="12"/>
      <c r="X76" s="22">
        <v>3.5282</v>
      </c>
      <c r="Y76" s="13" t="s">
        <v>26</v>
      </c>
      <c r="Z76" s="23">
        <v>0.36015000000000003</v>
      </c>
      <c r="AA76" s="22">
        <v>1.5677700000000001</v>
      </c>
      <c r="AB76" s="13"/>
      <c r="AC76" s="23">
        <v>3.6301000000000001</v>
      </c>
      <c r="AD76" s="9" t="s">
        <v>26</v>
      </c>
      <c r="AE76" s="22">
        <v>0.16247</v>
      </c>
      <c r="AF76" s="22">
        <v>0.54627899999999996</v>
      </c>
      <c r="AG76" s="13"/>
      <c r="AH76" s="9"/>
      <c r="AI76" s="9" t="s">
        <v>26</v>
      </c>
      <c r="AJ76" s="9"/>
      <c r="AK76" s="22">
        <v>7.1006499999999999</v>
      </c>
      <c r="AL76" s="13"/>
      <c r="AM76" s="22">
        <v>7.3734000000000002</v>
      </c>
      <c r="AN76" s="9" t="s">
        <v>26</v>
      </c>
      <c r="AO76" s="22">
        <v>0.35976999999999998</v>
      </c>
      <c r="AP76" s="22">
        <v>1.3263199999999999</v>
      </c>
      <c r="AQ76" s="13"/>
      <c r="AR76" s="22">
        <v>6.8661000000000003</v>
      </c>
      <c r="AS76" s="9" t="s">
        <v>26</v>
      </c>
      <c r="AT76" s="22">
        <v>0.33522999999999997</v>
      </c>
      <c r="AU76" s="22">
        <v>1.20374</v>
      </c>
      <c r="AV76" s="13"/>
      <c r="AW76" s="22">
        <v>8.5704999999999991</v>
      </c>
      <c r="AX76" s="9" t="s">
        <v>26</v>
      </c>
      <c r="AY76" s="22">
        <v>4.0267999999999997</v>
      </c>
      <c r="AZ76" s="22">
        <v>10.1319</v>
      </c>
      <c r="BA76" s="13"/>
      <c r="BB76" s="22">
        <v>0.99961</v>
      </c>
      <c r="BC76" s="9" t="s">
        <v>26</v>
      </c>
      <c r="BD76" s="22">
        <v>0.10747</v>
      </c>
      <c r="BE76" s="22">
        <v>0.505633</v>
      </c>
      <c r="BF76" s="13"/>
      <c r="BG76" s="22">
        <v>15.105</v>
      </c>
      <c r="BH76" s="9" t="s">
        <v>26</v>
      </c>
      <c r="BI76" s="22">
        <v>4.4234999999999998</v>
      </c>
      <c r="BJ76" s="23">
        <v>6.7784199999999997</v>
      </c>
    </row>
    <row r="77" spans="1:62" ht="15" thickBot="1" x14ac:dyDescent="0.4">
      <c r="A77" s="13" t="s">
        <v>68</v>
      </c>
      <c r="B77" s="13"/>
      <c r="C77" s="13" t="s">
        <v>58</v>
      </c>
      <c r="D77" s="13" t="s">
        <v>65</v>
      </c>
      <c r="E77" s="13">
        <v>6.9192000000000004E-2</v>
      </c>
      <c r="F77" s="21">
        <v>44838</v>
      </c>
      <c r="G77" s="31">
        <v>1.0898726851851852</v>
      </c>
      <c r="H77" s="10"/>
      <c r="I77" s="18">
        <v>49.697000000000003</v>
      </c>
      <c r="J77" s="11" t="s">
        <v>26</v>
      </c>
      <c r="K77" s="19">
        <v>3.7465000000000002</v>
      </c>
      <c r="L77" s="18">
        <v>7.5113500000000002</v>
      </c>
      <c r="M77" s="11"/>
      <c r="N77" s="19">
        <v>39.767000000000003</v>
      </c>
      <c r="O77" s="10" t="s">
        <v>26</v>
      </c>
      <c r="P77" s="26">
        <v>13.430999999999999</v>
      </c>
      <c r="Q77" s="19">
        <v>21.670400000000001</v>
      </c>
      <c r="R77" s="10"/>
      <c r="S77" s="11"/>
      <c r="T77" s="24" t="s">
        <v>26</v>
      </c>
      <c r="U77" s="10"/>
      <c r="V77" s="45">
        <v>1.0935600000000001</v>
      </c>
      <c r="W77" s="24"/>
      <c r="X77" s="18">
        <v>3.6783000000000001</v>
      </c>
      <c r="Y77" s="11" t="s">
        <v>26</v>
      </c>
      <c r="Z77" s="19">
        <v>3.5691999999999999</v>
      </c>
      <c r="AA77" s="18">
        <v>2.6198000000000001</v>
      </c>
      <c r="AB77" s="11"/>
      <c r="AC77" s="19">
        <v>3.2183999999999999</v>
      </c>
      <c r="AD77" s="9" t="s">
        <v>26</v>
      </c>
      <c r="AE77" s="22">
        <v>0.67647000000000002</v>
      </c>
      <c r="AF77" s="22">
        <v>1.0026200000000001</v>
      </c>
      <c r="AG77" s="13"/>
      <c r="AH77" s="9"/>
      <c r="AI77" s="9" t="s">
        <v>26</v>
      </c>
      <c r="AJ77" s="9"/>
      <c r="AK77" s="22">
        <v>13.1288</v>
      </c>
      <c r="AL77" s="13"/>
      <c r="AM77" s="22">
        <v>6.2276999999999996</v>
      </c>
      <c r="AN77" s="9" t="s">
        <v>26</v>
      </c>
      <c r="AO77" s="22">
        <v>0.56567999999999996</v>
      </c>
      <c r="AP77" s="22">
        <v>2.18798</v>
      </c>
      <c r="AQ77" s="13"/>
      <c r="AR77" s="22">
        <v>5.8380999999999998</v>
      </c>
      <c r="AS77" s="9" t="s">
        <v>26</v>
      </c>
      <c r="AT77" s="22">
        <v>1.2186999999999999</v>
      </c>
      <c r="AU77" s="22">
        <v>2.0740599999999998</v>
      </c>
      <c r="AV77" s="13"/>
      <c r="AW77" s="22">
        <v>4.7930999999999999</v>
      </c>
      <c r="AX77" s="9" t="s">
        <v>26</v>
      </c>
      <c r="AY77" s="22">
        <v>4.2111000000000001</v>
      </c>
      <c r="AZ77" s="22">
        <v>12.6594</v>
      </c>
      <c r="BA77" s="13"/>
      <c r="BB77" s="22">
        <v>1.0755999999999999</v>
      </c>
      <c r="BC77" s="9" t="s">
        <v>26</v>
      </c>
      <c r="BD77" s="22">
        <v>0.67166999999999999</v>
      </c>
      <c r="BE77" s="22">
        <v>0.80606</v>
      </c>
      <c r="BF77" s="13"/>
      <c r="BG77" s="22">
        <v>9.2942</v>
      </c>
      <c r="BH77" s="9" t="s">
        <v>26</v>
      </c>
      <c r="BI77" s="22">
        <v>7.3643999999999998</v>
      </c>
      <c r="BJ77" s="23">
        <v>17.393799999999999</v>
      </c>
    </row>
    <row r="78" spans="1:62" ht="15" thickBot="1" x14ac:dyDescent="0.4">
      <c r="A78" s="13" t="s">
        <v>69</v>
      </c>
      <c r="B78" s="13"/>
      <c r="C78" s="13" t="s">
        <v>58</v>
      </c>
      <c r="D78" s="13" t="s">
        <v>65</v>
      </c>
      <c r="E78" s="13">
        <v>6.3735E-2</v>
      </c>
      <c r="F78" s="21">
        <v>44839</v>
      </c>
      <c r="G78" s="42">
        <v>0.98371527777777779</v>
      </c>
      <c r="H78" s="15"/>
      <c r="I78" s="16">
        <v>77.028000000000006</v>
      </c>
      <c r="J78" s="14" t="s">
        <v>26</v>
      </c>
      <c r="K78" s="17">
        <v>5.3418000000000001</v>
      </c>
      <c r="L78" s="16">
        <v>8.3684200000000004</v>
      </c>
      <c r="M78" s="14"/>
      <c r="N78" s="17">
        <v>34.469000000000001</v>
      </c>
      <c r="O78" s="15" t="s">
        <v>26</v>
      </c>
      <c r="P78" s="28">
        <v>4.5662000000000003</v>
      </c>
      <c r="Q78" s="17">
        <v>21.954000000000001</v>
      </c>
      <c r="R78" s="15"/>
      <c r="S78" s="14"/>
      <c r="T78" s="27" t="s">
        <v>26</v>
      </c>
      <c r="U78" s="15"/>
      <c r="V78" s="44">
        <v>1.15882</v>
      </c>
      <c r="W78" s="27"/>
      <c r="X78" s="16">
        <v>1.4922</v>
      </c>
      <c r="Y78" s="14" t="s">
        <v>26</v>
      </c>
      <c r="Z78" s="17">
        <v>0.71882999999999997</v>
      </c>
      <c r="AA78" s="16">
        <v>2.6631499999999999</v>
      </c>
      <c r="AB78" s="14"/>
      <c r="AC78" s="17">
        <v>3.4538000000000002</v>
      </c>
      <c r="AD78" s="9" t="s">
        <v>26</v>
      </c>
      <c r="AE78" s="22">
        <v>0.75348000000000004</v>
      </c>
      <c r="AF78" s="22">
        <v>1.10103</v>
      </c>
      <c r="AG78" s="13"/>
      <c r="AH78" s="9"/>
      <c r="AI78" s="9" t="s">
        <v>26</v>
      </c>
      <c r="AJ78" s="9"/>
      <c r="AK78" s="22">
        <v>14.778499999999999</v>
      </c>
      <c r="AL78" s="13"/>
      <c r="AM78" s="22">
        <v>6.92</v>
      </c>
      <c r="AN78" s="9" t="s">
        <v>26</v>
      </c>
      <c r="AO78" s="22">
        <v>0.62929999999999997</v>
      </c>
      <c r="AP78" s="22">
        <v>2.4043899999999998</v>
      </c>
      <c r="AQ78" s="13"/>
      <c r="AR78" s="22">
        <v>6.5663</v>
      </c>
      <c r="AS78" s="9" t="s">
        <v>26</v>
      </c>
      <c r="AT78" s="22">
        <v>1.3581000000000001</v>
      </c>
      <c r="AU78" s="22">
        <v>2.2656000000000001</v>
      </c>
      <c r="AV78" s="13"/>
      <c r="AW78" s="22">
        <v>0.94055999999999995</v>
      </c>
      <c r="AX78" s="9" t="s">
        <v>26</v>
      </c>
      <c r="AY78" s="22">
        <v>3.8597999999999999</v>
      </c>
      <c r="AZ78" s="22">
        <v>13.3888</v>
      </c>
      <c r="BA78" s="13"/>
      <c r="BB78" s="22">
        <v>1.0589999999999999</v>
      </c>
      <c r="BC78" s="9" t="s">
        <v>26</v>
      </c>
      <c r="BD78" s="22">
        <v>0.19556000000000001</v>
      </c>
      <c r="BE78" s="22">
        <v>0.86727200000000004</v>
      </c>
      <c r="BF78" s="13"/>
      <c r="BG78" s="22">
        <v>14.101000000000001</v>
      </c>
      <c r="BH78" s="9" t="s">
        <v>26</v>
      </c>
      <c r="BI78" s="22">
        <v>2.6472000000000002</v>
      </c>
      <c r="BJ78" s="23">
        <v>11.441800000000001</v>
      </c>
    </row>
    <row r="79" spans="1:62" ht="15" thickBot="1" x14ac:dyDescent="0.4">
      <c r="A79" s="13" t="s">
        <v>70</v>
      </c>
      <c r="B79" s="13"/>
      <c r="C79" s="13" t="s">
        <v>58</v>
      </c>
      <c r="D79" s="13" t="s">
        <v>65</v>
      </c>
      <c r="E79" s="13">
        <v>6.9264000000000006E-2</v>
      </c>
      <c r="F79" s="21">
        <v>44840</v>
      </c>
      <c r="G79" s="35">
        <v>0.99351851851851858</v>
      </c>
      <c r="H79" s="35"/>
      <c r="I79" s="36">
        <v>41.078000000000003</v>
      </c>
      <c r="J79" s="37" t="s">
        <v>26</v>
      </c>
      <c r="K79" s="36">
        <v>3.4342999999999999</v>
      </c>
      <c r="L79" s="36">
        <v>7.0330000000000004</v>
      </c>
      <c r="M79" s="35"/>
      <c r="N79" s="36">
        <v>46.271999999999998</v>
      </c>
      <c r="O79" s="37" t="s">
        <v>26</v>
      </c>
      <c r="P79" s="36">
        <v>12.933999999999999</v>
      </c>
      <c r="Q79" s="36">
        <v>20.142700000000001</v>
      </c>
      <c r="R79" s="35"/>
      <c r="S79" s="37"/>
      <c r="T79" s="37" t="s">
        <v>26</v>
      </c>
      <c r="U79" s="37"/>
      <c r="V79" s="36">
        <v>1.07447</v>
      </c>
      <c r="W79" s="35"/>
      <c r="X79" s="36">
        <v>1.413</v>
      </c>
      <c r="Y79" s="37" t="s">
        <v>26</v>
      </c>
      <c r="Z79" s="36">
        <v>2.1122999999999998</v>
      </c>
      <c r="AA79" s="36">
        <v>2.3406400000000001</v>
      </c>
      <c r="AB79" s="35"/>
      <c r="AC79" s="36">
        <v>2.8656999999999999</v>
      </c>
      <c r="AD79" s="9" t="s">
        <v>26</v>
      </c>
      <c r="AE79" s="22">
        <v>0.66391</v>
      </c>
      <c r="AF79" s="22">
        <v>1.0464500000000001</v>
      </c>
      <c r="AG79" s="13"/>
      <c r="AH79" s="9"/>
      <c r="AI79" s="9" t="s">
        <v>26</v>
      </c>
      <c r="AJ79" s="9"/>
      <c r="AK79" s="22">
        <v>13.6959</v>
      </c>
      <c r="AL79" s="13"/>
      <c r="AM79" s="22">
        <v>6.8879000000000001</v>
      </c>
      <c r="AN79" s="9" t="s">
        <v>26</v>
      </c>
      <c r="AO79" s="22">
        <v>1.6279999999999999</v>
      </c>
      <c r="AP79" s="22">
        <v>2.2884500000000001</v>
      </c>
      <c r="AQ79" s="13"/>
      <c r="AR79" s="22">
        <v>7.4123999999999999</v>
      </c>
      <c r="AS79" s="9" t="s">
        <v>26</v>
      </c>
      <c r="AT79" s="22">
        <v>1.367</v>
      </c>
      <c r="AU79" s="22">
        <v>2.01363</v>
      </c>
      <c r="AV79" s="13"/>
      <c r="AW79" s="22">
        <v>2.1162000000000001</v>
      </c>
      <c r="AX79" s="9" t="s">
        <v>26</v>
      </c>
      <c r="AY79" s="22">
        <v>3.0596999999999999</v>
      </c>
      <c r="AZ79" s="22">
        <v>11.7338</v>
      </c>
      <c r="BA79" s="13"/>
      <c r="BB79" s="22">
        <v>0.89932000000000001</v>
      </c>
      <c r="BC79" s="9" t="s">
        <v>26</v>
      </c>
      <c r="BD79" s="22">
        <v>0.17416000000000001</v>
      </c>
      <c r="BE79" s="22">
        <v>0.79944499999999996</v>
      </c>
      <c r="BF79" s="13"/>
      <c r="BG79" s="22">
        <v>21.77</v>
      </c>
      <c r="BH79" s="9" t="s">
        <v>26</v>
      </c>
      <c r="BI79" s="22">
        <v>2.6581000000000001</v>
      </c>
      <c r="BJ79" s="23">
        <v>12.708399999999999</v>
      </c>
    </row>
    <row r="80" spans="1:62" ht="15" thickBot="1" x14ac:dyDescent="0.4">
      <c r="A80" s="13" t="s">
        <v>71</v>
      </c>
      <c r="B80" s="13"/>
      <c r="C80" s="13" t="s">
        <v>58</v>
      </c>
      <c r="D80" s="13" t="s">
        <v>65</v>
      </c>
      <c r="E80" s="13">
        <v>7.2252999999999998E-2</v>
      </c>
      <c r="F80" s="21">
        <v>44841</v>
      </c>
      <c r="G80" s="13">
        <v>2.7210416666666668</v>
      </c>
      <c r="H80" s="13"/>
      <c r="I80" s="22">
        <v>46.152999999999999</v>
      </c>
      <c r="J80" s="9" t="s">
        <v>26</v>
      </c>
      <c r="K80" s="22">
        <v>5.3693999999999997</v>
      </c>
      <c r="L80" s="22">
        <v>5.0071000000000003</v>
      </c>
      <c r="M80" s="13"/>
      <c r="N80" s="22">
        <v>32.548000000000002</v>
      </c>
      <c r="O80" s="9" t="s">
        <v>26</v>
      </c>
      <c r="P80" s="22">
        <v>6.7953999999999999</v>
      </c>
      <c r="Q80" s="22">
        <v>12.4628</v>
      </c>
      <c r="R80" s="13"/>
      <c r="S80" s="9"/>
      <c r="T80" s="9" t="s">
        <v>26</v>
      </c>
      <c r="U80" s="9"/>
      <c r="V80" s="22">
        <v>0.64530200000000004</v>
      </c>
      <c r="W80" s="13"/>
      <c r="X80" s="22">
        <v>2.9359000000000002</v>
      </c>
      <c r="Y80" s="9" t="s">
        <v>26</v>
      </c>
      <c r="Z80" s="22">
        <v>0.37563000000000002</v>
      </c>
      <c r="AA80" s="22">
        <v>1.60236</v>
      </c>
      <c r="AB80" s="13"/>
      <c r="AC80" s="22">
        <v>2.6311</v>
      </c>
      <c r="AD80" s="9" t="s">
        <v>26</v>
      </c>
      <c r="AE80" s="22">
        <v>0.38519999999999999</v>
      </c>
      <c r="AF80" s="22">
        <v>0.63561800000000002</v>
      </c>
      <c r="AG80" s="13"/>
      <c r="AH80" s="9"/>
      <c r="AI80" s="9" t="s">
        <v>26</v>
      </c>
      <c r="AJ80" s="9"/>
      <c r="AK80" s="22">
        <v>8.1966300000000007</v>
      </c>
      <c r="AL80" s="13"/>
      <c r="AM80" s="22">
        <v>7.7648999999999999</v>
      </c>
      <c r="AN80" s="9" t="s">
        <v>26</v>
      </c>
      <c r="AO80" s="22">
        <v>0.39683000000000002</v>
      </c>
      <c r="AP80" s="22">
        <v>1.4636499999999999</v>
      </c>
      <c r="AQ80" s="13"/>
      <c r="AR80" s="22">
        <v>7.4222000000000001</v>
      </c>
      <c r="AS80" s="9" t="s">
        <v>26</v>
      </c>
      <c r="AT80" s="22">
        <v>0.36576999999999998</v>
      </c>
      <c r="AU80" s="22">
        <v>1.2325900000000001</v>
      </c>
      <c r="AV80" s="13"/>
      <c r="AW80" s="22">
        <v>1.7743</v>
      </c>
      <c r="AX80" s="9" t="s">
        <v>26</v>
      </c>
      <c r="AY80" s="22">
        <v>4.218</v>
      </c>
      <c r="AZ80" s="22">
        <v>10.3706</v>
      </c>
      <c r="BA80" s="13"/>
      <c r="BB80" s="22">
        <v>1.0162</v>
      </c>
      <c r="BC80" s="9" t="s">
        <v>26</v>
      </c>
      <c r="BD80" s="22">
        <v>0.38147999999999999</v>
      </c>
      <c r="BE80" s="22">
        <v>0.52385700000000002</v>
      </c>
      <c r="BF80" s="13"/>
      <c r="BG80" s="22">
        <v>18.998999999999999</v>
      </c>
      <c r="BH80" s="9" t="s">
        <v>26</v>
      </c>
      <c r="BI80" s="22">
        <v>5.1551</v>
      </c>
      <c r="BJ80" s="23">
        <v>8.6456099999999996</v>
      </c>
    </row>
    <row r="81" spans="1:62" ht="15" thickBot="1" x14ac:dyDescent="0.4">
      <c r="A81" s="13" t="s">
        <v>72</v>
      </c>
      <c r="B81" s="13"/>
      <c r="C81" s="13" t="s">
        <v>58</v>
      </c>
      <c r="D81" s="13" t="s">
        <v>65</v>
      </c>
      <c r="E81" s="13">
        <v>6.8331000000000003E-2</v>
      </c>
      <c r="F81" s="21">
        <v>44844</v>
      </c>
      <c r="G81" s="13">
        <v>1.0091087962962961</v>
      </c>
      <c r="H81" s="13"/>
      <c r="I81" s="22">
        <v>48.984000000000002</v>
      </c>
      <c r="J81" s="9" t="s">
        <v>26</v>
      </c>
      <c r="K81" s="22">
        <v>3.7761999999999998</v>
      </c>
      <c r="L81" s="22">
        <v>7.2905600000000002</v>
      </c>
      <c r="M81" s="13"/>
      <c r="N81" s="22">
        <v>29.856000000000002</v>
      </c>
      <c r="O81" s="9" t="s">
        <v>26</v>
      </c>
      <c r="P81" s="22">
        <v>4.0644999999999998</v>
      </c>
      <c r="Q81" s="22">
        <v>20.686499999999999</v>
      </c>
      <c r="R81" s="13"/>
      <c r="S81" s="9"/>
      <c r="T81" s="9" t="s">
        <v>26</v>
      </c>
      <c r="U81" s="9"/>
      <c r="V81" s="22">
        <v>1.1295299999999999</v>
      </c>
      <c r="W81" s="13"/>
      <c r="X81" s="22">
        <v>3.4721000000000002</v>
      </c>
      <c r="Y81" s="9" t="s">
        <v>26</v>
      </c>
      <c r="Z81" s="22">
        <v>0.60711999999999999</v>
      </c>
      <c r="AA81" s="22">
        <v>3.5539000000000001</v>
      </c>
      <c r="AB81" s="13"/>
      <c r="AC81" s="22">
        <v>2.8730000000000002</v>
      </c>
      <c r="AD81" s="9" t="s">
        <v>26</v>
      </c>
      <c r="AE81" s="22">
        <v>0.65015000000000001</v>
      </c>
      <c r="AF81" s="22">
        <v>0.99776500000000001</v>
      </c>
      <c r="AG81" s="13"/>
      <c r="AH81" s="9"/>
      <c r="AI81" s="9" t="s">
        <v>26</v>
      </c>
      <c r="AJ81" s="9"/>
      <c r="AK81" s="22">
        <v>13.916</v>
      </c>
      <c r="AL81" s="13"/>
      <c r="AM81" s="22">
        <v>7.3922999999999996</v>
      </c>
      <c r="AN81" s="9" t="s">
        <v>26</v>
      </c>
      <c r="AO81" s="22">
        <v>0.61387999999999998</v>
      </c>
      <c r="AP81" s="22">
        <v>2.2206299999999999</v>
      </c>
      <c r="AQ81" s="13"/>
      <c r="AR81" s="22">
        <v>8.3338000000000001</v>
      </c>
      <c r="AS81" s="9" t="s">
        <v>26</v>
      </c>
      <c r="AT81" s="22">
        <v>1.4004000000000001</v>
      </c>
      <c r="AU81" s="22">
        <v>2.0590099999999998</v>
      </c>
      <c r="AV81" s="13"/>
      <c r="AW81" s="22">
        <v>2.0306000000000002</v>
      </c>
      <c r="AX81" s="9" t="s">
        <v>26</v>
      </c>
      <c r="AY81" s="22">
        <v>3.2829000000000002</v>
      </c>
      <c r="AZ81" s="22">
        <v>12.178699999999999</v>
      </c>
      <c r="BA81" s="13"/>
      <c r="BB81" s="22">
        <v>0.80078000000000005</v>
      </c>
      <c r="BC81" s="9" t="s">
        <v>26</v>
      </c>
      <c r="BD81" s="22">
        <v>0.17943000000000001</v>
      </c>
      <c r="BE81" s="22">
        <v>0.77526300000000004</v>
      </c>
      <c r="BF81" s="13"/>
      <c r="BG81" s="22">
        <v>13.574999999999999</v>
      </c>
      <c r="BH81" s="9" t="s">
        <v>26</v>
      </c>
      <c r="BI81" s="22">
        <v>2.5379999999999998</v>
      </c>
      <c r="BJ81" s="23">
        <v>19.9391</v>
      </c>
    </row>
    <row r="82" spans="1:62" ht="15" thickBot="1" x14ac:dyDescent="0.4">
      <c r="A82" s="13" t="s">
        <v>73</v>
      </c>
      <c r="B82" s="13"/>
      <c r="C82" s="13" t="s">
        <v>58</v>
      </c>
      <c r="D82" s="13" t="s">
        <v>65</v>
      </c>
      <c r="E82" s="13">
        <v>6.7934999999999995E-2</v>
      </c>
      <c r="F82" s="21">
        <v>44846</v>
      </c>
      <c r="G82" s="13">
        <v>1.0015162037037038</v>
      </c>
      <c r="H82" s="13"/>
      <c r="I82" s="22">
        <v>51.234999999999999</v>
      </c>
      <c r="J82" s="9" t="s">
        <v>26</v>
      </c>
      <c r="K82" s="22">
        <v>3.964</v>
      </c>
      <c r="L82" s="22">
        <v>7.8381699999999999</v>
      </c>
      <c r="M82" s="13"/>
      <c r="N82" s="22">
        <v>31.779</v>
      </c>
      <c r="O82" s="9" t="s">
        <v>26</v>
      </c>
      <c r="P82" s="22">
        <v>4.1230000000000002</v>
      </c>
      <c r="Q82" s="22">
        <v>17.978300000000001</v>
      </c>
      <c r="R82" s="13"/>
      <c r="S82" s="9"/>
      <c r="T82" s="9" t="s">
        <v>26</v>
      </c>
      <c r="U82" s="9"/>
      <c r="V82" s="22">
        <v>1.1591499999999999</v>
      </c>
      <c r="W82" s="13"/>
      <c r="X82" s="22">
        <v>2.2387999999999999</v>
      </c>
      <c r="Y82" s="9" t="s">
        <v>26</v>
      </c>
      <c r="Z82" s="22">
        <v>0.24204000000000001</v>
      </c>
      <c r="AA82" s="22">
        <v>2.4523600000000001</v>
      </c>
      <c r="AB82" s="13"/>
      <c r="AC82" s="22">
        <v>2.9121999999999999</v>
      </c>
      <c r="AD82" s="9" t="s">
        <v>26</v>
      </c>
      <c r="AE82" s="22">
        <v>0.73746</v>
      </c>
      <c r="AF82" s="22">
        <v>0.99209700000000001</v>
      </c>
      <c r="AG82" s="13"/>
      <c r="AH82" s="9"/>
      <c r="AI82" s="9" t="s">
        <v>26</v>
      </c>
      <c r="AJ82" s="9"/>
      <c r="AK82" s="22">
        <v>14.410299999999999</v>
      </c>
      <c r="AL82" s="13"/>
      <c r="AM82" s="22">
        <v>7.4099000000000004</v>
      </c>
      <c r="AN82" s="9" t="s">
        <v>26</v>
      </c>
      <c r="AO82" s="22">
        <v>1.716</v>
      </c>
      <c r="AP82" s="22">
        <v>2.5105200000000001</v>
      </c>
      <c r="AQ82" s="13"/>
      <c r="AR82" s="22">
        <v>5.1569000000000003</v>
      </c>
      <c r="AS82" s="9" t="s">
        <v>26</v>
      </c>
      <c r="AT82" s="22">
        <v>0.52442</v>
      </c>
      <c r="AU82" s="22">
        <v>1.9502699999999999</v>
      </c>
      <c r="AV82" s="13"/>
      <c r="AW82" s="22">
        <v>17.553000000000001</v>
      </c>
      <c r="AX82" s="9" t="s">
        <v>26</v>
      </c>
      <c r="AY82" s="22">
        <v>8.1378000000000004</v>
      </c>
      <c r="AZ82" s="22">
        <v>13.9833</v>
      </c>
      <c r="BA82" s="13"/>
      <c r="BB82" s="22">
        <v>0.93718000000000001</v>
      </c>
      <c r="BC82" s="9" t="s">
        <v>26</v>
      </c>
      <c r="BD82" s="22">
        <v>0.182</v>
      </c>
      <c r="BE82" s="22">
        <v>0.77285899999999996</v>
      </c>
      <c r="BF82" s="13"/>
      <c r="BG82" s="9"/>
      <c r="BH82" s="9" t="s">
        <v>26</v>
      </c>
      <c r="BI82" s="9"/>
      <c r="BJ82" s="23">
        <v>15.844099999999999</v>
      </c>
    </row>
    <row r="83" spans="1:62" ht="15" thickBot="1" x14ac:dyDescent="0.4">
      <c r="A83" s="13" t="s">
        <v>138</v>
      </c>
      <c r="B83" s="13"/>
      <c r="C83" s="13" t="s">
        <v>58</v>
      </c>
      <c r="D83" s="13" t="s">
        <v>65</v>
      </c>
      <c r="E83" s="13">
        <v>6.9275000000000003E-2</v>
      </c>
      <c r="F83" s="21">
        <v>44847</v>
      </c>
      <c r="G83" s="13">
        <v>0.99291666666666656</v>
      </c>
      <c r="H83" s="13"/>
      <c r="I83" s="22">
        <v>45.600999999999999</v>
      </c>
      <c r="J83" s="9" t="s">
        <v>26</v>
      </c>
      <c r="K83" s="22">
        <v>3.6461000000000001</v>
      </c>
      <c r="L83" s="22">
        <v>8.2850599999999996</v>
      </c>
      <c r="M83" s="13"/>
      <c r="N83" s="22">
        <v>24.324999999999999</v>
      </c>
      <c r="O83" s="9" t="s">
        <v>26</v>
      </c>
      <c r="P83" s="22">
        <v>5.8566000000000003</v>
      </c>
      <c r="Q83" s="22">
        <v>17.954999999999998</v>
      </c>
      <c r="R83" s="13"/>
      <c r="S83" s="9"/>
      <c r="T83" s="9" t="s">
        <v>26</v>
      </c>
      <c r="U83" s="9"/>
      <c r="V83" s="22">
        <v>1.11785</v>
      </c>
      <c r="W83" s="13"/>
      <c r="X83" s="22">
        <v>2.9129999999999998</v>
      </c>
      <c r="Y83" s="9" t="s">
        <v>26</v>
      </c>
      <c r="Z83" s="22">
        <v>2.0699999999999998</v>
      </c>
      <c r="AA83" s="22">
        <v>2.06901</v>
      </c>
      <c r="AB83" s="13"/>
      <c r="AC83" s="22">
        <v>2.7667000000000002</v>
      </c>
      <c r="AD83" s="9" t="s">
        <v>26</v>
      </c>
      <c r="AE83" s="22">
        <v>0.65819000000000005</v>
      </c>
      <c r="AF83" s="22">
        <v>1.0516799999999999</v>
      </c>
      <c r="AG83" s="13"/>
      <c r="AH83" s="9"/>
      <c r="AI83" s="9" t="s">
        <v>26</v>
      </c>
      <c r="AJ83" s="9"/>
      <c r="AK83" s="22">
        <v>13.4068</v>
      </c>
      <c r="AL83" s="13"/>
      <c r="AM83" s="22">
        <v>5.4640000000000004</v>
      </c>
      <c r="AN83" s="9" t="s">
        <v>26</v>
      </c>
      <c r="AO83" s="22">
        <v>0.58118000000000003</v>
      </c>
      <c r="AP83" s="22">
        <v>2.35229</v>
      </c>
      <c r="AQ83" s="13"/>
      <c r="AR83" s="22">
        <v>5.3879999999999999</v>
      </c>
      <c r="AS83" s="9" t="s">
        <v>26</v>
      </c>
      <c r="AT83" s="22">
        <v>1.4823</v>
      </c>
      <c r="AU83" s="22">
        <v>2.0179900000000002</v>
      </c>
      <c r="AV83" s="13"/>
      <c r="AW83" s="22">
        <v>1.212</v>
      </c>
      <c r="AX83" s="9" t="s">
        <v>26</v>
      </c>
      <c r="AY83" s="22">
        <v>3.153</v>
      </c>
      <c r="AZ83" s="22">
        <v>12.198</v>
      </c>
      <c r="BA83" s="13"/>
      <c r="BB83" s="22">
        <v>1.0922000000000001</v>
      </c>
      <c r="BC83" s="9" t="s">
        <v>26</v>
      </c>
      <c r="BD83" s="22">
        <v>0.18351999999999999</v>
      </c>
      <c r="BE83" s="22">
        <v>0.77957399999999999</v>
      </c>
      <c r="BF83" s="13"/>
      <c r="BG83" s="22">
        <v>12.224</v>
      </c>
      <c r="BH83" s="9" t="s">
        <v>26</v>
      </c>
      <c r="BI83" s="22">
        <v>2.4148000000000001</v>
      </c>
      <c r="BJ83" s="23">
        <v>12.418900000000001</v>
      </c>
    </row>
    <row r="84" spans="1:62" ht="15" thickBot="1" x14ac:dyDescent="0.4">
      <c r="A84" s="13" t="s">
        <v>74</v>
      </c>
      <c r="B84" s="13"/>
      <c r="C84" s="13" t="s">
        <v>58</v>
      </c>
      <c r="D84" s="13" t="s">
        <v>65</v>
      </c>
      <c r="E84" s="13">
        <v>7.3278999999999997E-2</v>
      </c>
      <c r="F84" s="21">
        <v>44845</v>
      </c>
      <c r="G84" s="30">
        <v>1.1418981481481481</v>
      </c>
      <c r="H84" s="9"/>
      <c r="I84" s="22">
        <v>42.406999999999996</v>
      </c>
      <c r="J84" s="13" t="s">
        <v>26</v>
      </c>
      <c r="K84" s="23">
        <v>3.2869999999999999</v>
      </c>
      <c r="L84" s="22">
        <v>7.0522099999999996</v>
      </c>
      <c r="M84" s="13"/>
      <c r="N84" s="23">
        <v>29.344000000000001</v>
      </c>
      <c r="O84" s="9" t="s">
        <v>26</v>
      </c>
      <c r="P84" s="25">
        <v>10.305</v>
      </c>
      <c r="Q84" s="23">
        <v>20.848500000000001</v>
      </c>
      <c r="R84" s="9"/>
      <c r="S84" s="13"/>
      <c r="T84" s="12" t="s">
        <v>26</v>
      </c>
      <c r="U84" s="9"/>
      <c r="V84" s="46">
        <v>0.96804999999999997</v>
      </c>
      <c r="W84" s="12"/>
      <c r="X84" s="22">
        <v>3.8879999999999999</v>
      </c>
      <c r="Y84" s="13" t="s">
        <v>26</v>
      </c>
      <c r="Z84" s="23">
        <v>2.3199000000000001</v>
      </c>
      <c r="AA84" s="22">
        <v>2.2822100000000001</v>
      </c>
      <c r="AB84" s="13"/>
      <c r="AC84" s="23">
        <v>2.6589999999999998</v>
      </c>
      <c r="AD84" s="9" t="s">
        <v>26</v>
      </c>
      <c r="AE84" s="22">
        <v>0.60489000000000004</v>
      </c>
      <c r="AF84" s="23">
        <v>0.88626400000000005</v>
      </c>
      <c r="AG84" s="9"/>
      <c r="AH84" s="9"/>
      <c r="AI84" s="9" t="s">
        <v>26</v>
      </c>
      <c r="AJ84" s="9"/>
      <c r="AK84" s="22">
        <v>12.373200000000001</v>
      </c>
      <c r="AL84" s="13"/>
      <c r="AM84" s="22">
        <v>6.7721999999999998</v>
      </c>
      <c r="AN84" s="9" t="s">
        <v>26</v>
      </c>
      <c r="AO84" s="22">
        <v>1.4386000000000001</v>
      </c>
      <c r="AP84" s="22">
        <v>1.97302</v>
      </c>
      <c r="AQ84" s="13"/>
      <c r="AR84" s="22">
        <v>5.0122</v>
      </c>
      <c r="AS84" s="9" t="s">
        <v>26</v>
      </c>
      <c r="AT84" s="22">
        <v>0.46100999999999998</v>
      </c>
      <c r="AU84" s="22">
        <v>1.7679199999999999</v>
      </c>
      <c r="AV84" s="13"/>
      <c r="AW84" s="22">
        <v>5.4949000000000003</v>
      </c>
      <c r="AX84" s="9" t="s">
        <v>26</v>
      </c>
      <c r="AY84" s="22">
        <v>16.248000000000001</v>
      </c>
      <c r="AZ84" s="22">
        <v>12.4939</v>
      </c>
      <c r="BA84" s="13"/>
      <c r="BB84" s="22">
        <v>0.79696</v>
      </c>
      <c r="BC84" s="9" t="s">
        <v>26</v>
      </c>
      <c r="BD84" s="22">
        <v>0.62609999999999999</v>
      </c>
      <c r="BE84" s="22">
        <v>0.84211899999999995</v>
      </c>
      <c r="BF84" s="13"/>
      <c r="BG84" s="22">
        <v>15.143000000000001</v>
      </c>
      <c r="BH84" s="9" t="s">
        <v>26</v>
      </c>
      <c r="BI84" s="22">
        <v>5.3201999999999998</v>
      </c>
      <c r="BJ84" s="23">
        <v>11.7522</v>
      </c>
    </row>
    <row r="85" spans="1:62" ht="15" thickBot="1" x14ac:dyDescent="0.4">
      <c r="A85" s="13" t="s">
        <v>139</v>
      </c>
      <c r="B85" s="13"/>
      <c r="C85" s="13" t="s">
        <v>58</v>
      </c>
      <c r="D85" s="13" t="s">
        <v>65</v>
      </c>
      <c r="E85" s="13">
        <v>6.1870000000000001E-2</v>
      </c>
      <c r="F85" s="21">
        <v>44848</v>
      </c>
      <c r="G85" s="31">
        <v>2.729409722222222</v>
      </c>
      <c r="H85" s="10"/>
      <c r="I85" s="18">
        <v>47.750999999999998</v>
      </c>
      <c r="J85" s="11" t="s">
        <v>26</v>
      </c>
      <c r="K85" s="19">
        <v>6.2958999999999996</v>
      </c>
      <c r="L85" s="18">
        <v>5.3411600000000004</v>
      </c>
      <c r="M85" s="11"/>
      <c r="N85" s="19">
        <v>48.344000000000001</v>
      </c>
      <c r="O85" s="10" t="s">
        <v>26</v>
      </c>
      <c r="P85" s="26">
        <v>8.5873000000000008</v>
      </c>
      <c r="Q85" s="19">
        <v>14.2112</v>
      </c>
      <c r="R85" s="10"/>
      <c r="S85" s="11"/>
      <c r="T85" s="24" t="s">
        <v>26</v>
      </c>
      <c r="U85" s="10"/>
      <c r="V85" s="45">
        <v>0.72560599999999997</v>
      </c>
      <c r="W85" s="24"/>
      <c r="X85" s="18">
        <v>1.7094</v>
      </c>
      <c r="Y85" s="11" t="s">
        <v>26</v>
      </c>
      <c r="Z85" s="19">
        <v>1.6364000000000001</v>
      </c>
      <c r="AA85" s="18">
        <v>1.76237</v>
      </c>
      <c r="AB85" s="11"/>
      <c r="AC85" s="19">
        <v>2.5145</v>
      </c>
      <c r="AD85" s="10" t="s">
        <v>26</v>
      </c>
      <c r="AE85" s="18">
        <v>0.57789999999999997</v>
      </c>
      <c r="AF85" s="19">
        <v>0.71525399999999995</v>
      </c>
      <c r="AG85" s="9"/>
      <c r="AH85" s="22">
        <v>2.6779000000000002</v>
      </c>
      <c r="AI85" s="9" t="s">
        <v>26</v>
      </c>
      <c r="AJ85" s="22">
        <v>2.3693</v>
      </c>
      <c r="AK85" s="22">
        <v>4.7934900000000003</v>
      </c>
      <c r="AL85" s="13"/>
      <c r="AM85" s="22">
        <v>3.7751000000000001</v>
      </c>
      <c r="AN85" s="9" t="s">
        <v>26</v>
      </c>
      <c r="AO85" s="22">
        <v>0.40192</v>
      </c>
      <c r="AP85" s="22">
        <v>1.7001200000000001</v>
      </c>
      <c r="AQ85" s="13"/>
      <c r="AR85" s="22">
        <v>3.6613000000000002</v>
      </c>
      <c r="AS85" s="9" t="s">
        <v>26</v>
      </c>
      <c r="AT85" s="22">
        <v>0.85550000000000004</v>
      </c>
      <c r="AU85" s="22">
        <v>1.4193800000000001</v>
      </c>
      <c r="AV85" s="13"/>
      <c r="AW85" s="22">
        <v>0.14391999999999999</v>
      </c>
      <c r="AX85" s="9" t="s">
        <v>26</v>
      </c>
      <c r="AY85" s="22">
        <v>3.6158999999999999</v>
      </c>
      <c r="AZ85" s="22">
        <v>11.921900000000001</v>
      </c>
      <c r="BA85" s="13"/>
      <c r="BB85" s="22">
        <v>0.74090999999999996</v>
      </c>
      <c r="BC85" s="9" t="s">
        <v>26</v>
      </c>
      <c r="BD85" s="22">
        <v>0.12748000000000001</v>
      </c>
      <c r="BE85" s="22">
        <v>0.67129799999999995</v>
      </c>
      <c r="BF85" s="13"/>
      <c r="BG85" s="22">
        <v>15.724</v>
      </c>
      <c r="BH85" s="9" t="s">
        <v>26</v>
      </c>
      <c r="BI85" s="22">
        <v>1.7359</v>
      </c>
      <c r="BJ85" s="23">
        <v>9.5863399999999999</v>
      </c>
    </row>
    <row r="86" spans="1:62" ht="15" thickBot="1" x14ac:dyDescent="0.4">
      <c r="A86" s="13" t="s">
        <v>140</v>
      </c>
      <c r="B86" s="13"/>
      <c r="C86" s="13" t="s">
        <v>58</v>
      </c>
      <c r="D86" s="13" t="s">
        <v>65</v>
      </c>
      <c r="E86" s="13">
        <v>6.4284999999999995E-2</v>
      </c>
      <c r="F86" s="21">
        <v>44851</v>
      </c>
      <c r="G86" s="42">
        <v>1.0285648148148148</v>
      </c>
      <c r="H86" s="15"/>
      <c r="I86" s="16">
        <v>31.306000000000001</v>
      </c>
      <c r="J86" s="14" t="s">
        <v>26</v>
      </c>
      <c r="K86" s="17">
        <v>5.9168000000000003</v>
      </c>
      <c r="L86" s="16">
        <v>8.4546100000000006</v>
      </c>
      <c r="M86" s="14"/>
      <c r="N86" s="17">
        <v>50.945</v>
      </c>
      <c r="O86" s="15" t="s">
        <v>26</v>
      </c>
      <c r="P86" s="28">
        <v>13.878</v>
      </c>
      <c r="Q86" s="17">
        <v>21.8611</v>
      </c>
      <c r="R86" s="15"/>
      <c r="S86" s="14"/>
      <c r="T86" s="27" t="s">
        <v>26</v>
      </c>
      <c r="U86" s="15"/>
      <c r="V86" s="44">
        <v>1.12523</v>
      </c>
      <c r="W86" s="27"/>
      <c r="X86" s="16">
        <v>1.4430000000000001</v>
      </c>
      <c r="Y86" s="14" t="s">
        <v>26</v>
      </c>
      <c r="Z86" s="17">
        <v>1.4902</v>
      </c>
      <c r="AA86" s="16">
        <v>2.4325700000000001</v>
      </c>
      <c r="AB86" s="14"/>
      <c r="AC86" s="17">
        <v>2.0264000000000002</v>
      </c>
      <c r="AD86" s="15" t="s">
        <v>26</v>
      </c>
      <c r="AE86" s="16">
        <v>0.58716999999999997</v>
      </c>
      <c r="AF86" s="17">
        <v>1.03983</v>
      </c>
      <c r="AG86" s="9"/>
      <c r="AH86" s="9"/>
      <c r="AI86" s="9" t="s">
        <v>26</v>
      </c>
      <c r="AJ86" s="9"/>
      <c r="AK86" s="22">
        <v>14.575799999999999</v>
      </c>
      <c r="AL86" s="13"/>
      <c r="AM86" s="22">
        <v>3.4072</v>
      </c>
      <c r="AN86" s="9" t="s">
        <v>26</v>
      </c>
      <c r="AO86" s="22">
        <v>1.6693</v>
      </c>
      <c r="AP86" s="22">
        <v>2.4454099999999999</v>
      </c>
      <c r="AQ86" s="13"/>
      <c r="AR86" s="22">
        <v>3.1629</v>
      </c>
      <c r="AS86" s="9" t="s">
        <v>26</v>
      </c>
      <c r="AT86" s="22">
        <v>0.50036000000000003</v>
      </c>
      <c r="AU86" s="22">
        <v>2.1017700000000001</v>
      </c>
      <c r="AV86" s="13"/>
      <c r="AW86" s="22">
        <v>10.879</v>
      </c>
      <c r="AX86" s="9" t="s">
        <v>26</v>
      </c>
      <c r="AY86" s="22">
        <v>3.5146000000000002</v>
      </c>
      <c r="AZ86" s="22">
        <v>16.533899999999999</v>
      </c>
      <c r="BA86" s="13"/>
      <c r="BB86" s="22">
        <v>0.52503999999999995</v>
      </c>
      <c r="BC86" s="9" t="s">
        <v>26</v>
      </c>
      <c r="BD86" s="22">
        <v>0.18106</v>
      </c>
      <c r="BE86" s="22">
        <v>0.95591300000000001</v>
      </c>
      <c r="BF86" s="13"/>
      <c r="BG86" s="22">
        <v>14.581</v>
      </c>
      <c r="BH86" s="9" t="s">
        <v>26</v>
      </c>
      <c r="BI86" s="22">
        <v>2.5577999999999999</v>
      </c>
      <c r="BJ86" s="23">
        <v>12.6814</v>
      </c>
    </row>
    <row r="87" spans="1:62" ht="15" thickBot="1" x14ac:dyDescent="0.4">
      <c r="A87" s="13" t="s">
        <v>141</v>
      </c>
      <c r="B87" s="13"/>
      <c r="C87" s="13" t="s">
        <v>58</v>
      </c>
      <c r="D87" s="13" t="s">
        <v>65</v>
      </c>
      <c r="E87" s="13">
        <v>6.7887000000000003E-2</v>
      </c>
      <c r="F87" s="21">
        <v>44852</v>
      </c>
      <c r="G87" s="35">
        <v>0.97373842592592597</v>
      </c>
      <c r="H87" s="35"/>
      <c r="I87" s="36">
        <v>32.881999999999998</v>
      </c>
      <c r="J87" s="37" t="s">
        <v>26</v>
      </c>
      <c r="K87" s="36">
        <v>3.1244000000000001</v>
      </c>
      <c r="L87" s="36">
        <v>8.2871699999999997</v>
      </c>
      <c r="M87" s="35"/>
      <c r="N87" s="36">
        <v>43.365000000000002</v>
      </c>
      <c r="O87" s="37" t="s">
        <v>26</v>
      </c>
      <c r="P87" s="36">
        <v>4.7073</v>
      </c>
      <c r="Q87" s="36">
        <v>20.480399999999999</v>
      </c>
      <c r="R87" s="35"/>
      <c r="S87" s="37"/>
      <c r="T87" s="37" t="s">
        <v>26</v>
      </c>
      <c r="U87" s="37"/>
      <c r="V87" s="36">
        <v>1.129</v>
      </c>
      <c r="W87" s="35"/>
      <c r="X87" s="37"/>
      <c r="Y87" s="37" t="s">
        <v>26</v>
      </c>
      <c r="Z87" s="37"/>
      <c r="AA87" s="36">
        <v>4.2237299999999998</v>
      </c>
      <c r="AB87" s="35"/>
      <c r="AC87" s="36">
        <v>2.1375999999999999</v>
      </c>
      <c r="AD87" s="37" t="s">
        <v>26</v>
      </c>
      <c r="AE87" s="36">
        <v>0.75321000000000005</v>
      </c>
      <c r="AF87" s="36">
        <v>0.99337299999999995</v>
      </c>
      <c r="AG87" s="13"/>
      <c r="AH87" s="22">
        <v>3.0356999999999998</v>
      </c>
      <c r="AI87" s="9" t="s">
        <v>26</v>
      </c>
      <c r="AJ87" s="22">
        <v>1.4486000000000001</v>
      </c>
      <c r="AK87" s="22">
        <v>6.6426999999999996</v>
      </c>
      <c r="AL87" s="13"/>
      <c r="AM87" s="22">
        <v>4.5167999999999999</v>
      </c>
      <c r="AN87" s="9" t="s">
        <v>26</v>
      </c>
      <c r="AO87" s="22">
        <v>1.6333</v>
      </c>
      <c r="AP87" s="22">
        <v>2.2178200000000001</v>
      </c>
      <c r="AQ87" s="13"/>
      <c r="AR87" s="22">
        <v>4.0202</v>
      </c>
      <c r="AS87" s="9" t="s">
        <v>26</v>
      </c>
      <c r="AT87" s="22">
        <v>1.3218000000000001</v>
      </c>
      <c r="AU87" s="22">
        <v>2.1207699999999998</v>
      </c>
      <c r="AV87" s="13"/>
      <c r="AW87" s="22">
        <v>8.4457000000000004</v>
      </c>
      <c r="AX87" s="9" t="s">
        <v>26</v>
      </c>
      <c r="AY87" s="22">
        <v>8.0648999999999997</v>
      </c>
      <c r="AZ87" s="22">
        <v>14.071099999999999</v>
      </c>
      <c r="BA87" s="13"/>
      <c r="BB87" s="22">
        <v>5.7238999999999998E-2</v>
      </c>
      <c r="BC87" s="9" t="s">
        <v>26</v>
      </c>
      <c r="BD87" s="22">
        <v>0.1681</v>
      </c>
      <c r="BE87" s="22">
        <v>0.79163099999999997</v>
      </c>
      <c r="BF87" s="13"/>
      <c r="BG87" s="22">
        <v>13.744999999999999</v>
      </c>
      <c r="BH87" s="9" t="s">
        <v>26</v>
      </c>
      <c r="BI87" s="22">
        <v>2.4937999999999998</v>
      </c>
      <c r="BJ87" s="23">
        <v>12.1241</v>
      </c>
    </row>
    <row r="88" spans="1:62" ht="15" thickBot="1" x14ac:dyDescent="0.4">
      <c r="A88" s="13" t="s">
        <v>142</v>
      </c>
      <c r="B88" s="13"/>
      <c r="C88" s="13" t="s">
        <v>58</v>
      </c>
      <c r="D88" s="13" t="s">
        <v>65</v>
      </c>
      <c r="E88" s="13">
        <v>6.3386999999999999E-2</v>
      </c>
      <c r="F88" s="21">
        <v>44853</v>
      </c>
      <c r="G88" s="30">
        <v>1.0158217592592591</v>
      </c>
      <c r="H88" s="9"/>
      <c r="I88" s="22">
        <v>33.32</v>
      </c>
      <c r="J88" s="13" t="s">
        <v>26</v>
      </c>
      <c r="K88" s="23">
        <v>8.3184000000000005</v>
      </c>
      <c r="L88" s="22">
        <v>9.3323</v>
      </c>
      <c r="M88" s="13"/>
      <c r="N88" s="23">
        <v>40.74</v>
      </c>
      <c r="O88" s="9" t="s">
        <v>26</v>
      </c>
      <c r="P88" s="25">
        <v>6.3460000000000001</v>
      </c>
      <c r="Q88" s="23">
        <v>38.277999999999999</v>
      </c>
      <c r="R88" s="9"/>
      <c r="S88" s="13"/>
      <c r="T88" s="12" t="s">
        <v>26</v>
      </c>
      <c r="U88" s="9"/>
      <c r="V88" s="46">
        <v>1.1958599999999999</v>
      </c>
      <c r="W88" s="12"/>
      <c r="X88" s="22">
        <v>1.8064</v>
      </c>
      <c r="Y88" s="13" t="s">
        <v>26</v>
      </c>
      <c r="Z88" s="23">
        <v>0.58926999999999996</v>
      </c>
      <c r="AA88" s="22">
        <v>2.4147400000000001</v>
      </c>
      <c r="AB88" s="13"/>
      <c r="AC88" s="23">
        <v>2.7176999999999998</v>
      </c>
      <c r="AD88" s="9" t="s">
        <v>26</v>
      </c>
      <c r="AE88" s="22">
        <v>0.71399999999999997</v>
      </c>
      <c r="AF88" s="23">
        <v>1.07681</v>
      </c>
      <c r="AG88" s="9"/>
      <c r="AH88" s="9"/>
      <c r="AI88" s="9" t="s">
        <v>26</v>
      </c>
      <c r="AJ88" s="9"/>
      <c r="AK88" s="22">
        <v>15.1839</v>
      </c>
      <c r="AL88" s="13"/>
      <c r="AM88" s="22">
        <v>6.3704000000000001</v>
      </c>
      <c r="AN88" s="9" t="s">
        <v>26</v>
      </c>
      <c r="AO88" s="22">
        <v>1.6867000000000001</v>
      </c>
      <c r="AP88" s="22">
        <v>2.4631699999999999</v>
      </c>
      <c r="AQ88" s="13"/>
      <c r="AR88" s="22">
        <v>5.9688999999999997</v>
      </c>
      <c r="AS88" s="9" t="s">
        <v>26</v>
      </c>
      <c r="AT88" s="22">
        <v>1.4182999999999999</v>
      </c>
      <c r="AU88" s="22">
        <v>2.1400999999999999</v>
      </c>
      <c r="AV88" s="13"/>
      <c r="AW88" s="22">
        <v>3.9260999999999999</v>
      </c>
      <c r="AX88" s="9" t="s">
        <v>26</v>
      </c>
      <c r="AY88" s="22">
        <v>3.7816000000000001</v>
      </c>
      <c r="AZ88" s="22">
        <v>13.132999999999999</v>
      </c>
      <c r="BA88" s="13"/>
      <c r="BB88" s="22">
        <v>0.65913999999999995</v>
      </c>
      <c r="BC88" s="9" t="s">
        <v>26</v>
      </c>
      <c r="BD88" s="22">
        <v>0.64702999999999999</v>
      </c>
      <c r="BE88" s="22">
        <v>0.82195200000000002</v>
      </c>
      <c r="BF88" s="13"/>
      <c r="BG88" s="22">
        <v>13.518000000000001</v>
      </c>
      <c r="BH88" s="9" t="s">
        <v>26</v>
      </c>
      <c r="BI88" s="22">
        <v>2.5849000000000002</v>
      </c>
      <c r="BJ88" s="23">
        <v>15.246</v>
      </c>
    </row>
    <row r="89" spans="1:62" ht="15" thickBot="1" x14ac:dyDescent="0.4">
      <c r="A89" s="13" t="s">
        <v>143</v>
      </c>
      <c r="B89" s="13"/>
      <c r="C89" s="13" t="s">
        <v>58</v>
      </c>
      <c r="D89" s="13" t="s">
        <v>65</v>
      </c>
      <c r="E89" s="13">
        <v>6.6113000000000005E-2</v>
      </c>
      <c r="F89" s="21">
        <v>44854</v>
      </c>
      <c r="G89" s="30">
        <v>1.0380439814814815</v>
      </c>
      <c r="H89" s="9"/>
      <c r="I89" s="22">
        <v>36.036999999999999</v>
      </c>
      <c r="J89" s="13" t="s">
        <v>26</v>
      </c>
      <c r="K89" s="23">
        <v>3.117</v>
      </c>
      <c r="L89" s="22">
        <v>7.4778900000000004</v>
      </c>
      <c r="M89" s="13"/>
      <c r="N89" s="23">
        <v>35.572000000000003</v>
      </c>
      <c r="O89" s="9" t="s">
        <v>26</v>
      </c>
      <c r="P89" s="25">
        <v>13.398999999999999</v>
      </c>
      <c r="Q89" s="23">
        <v>20.728999999999999</v>
      </c>
      <c r="R89" s="9"/>
      <c r="S89" s="13"/>
      <c r="T89" s="12" t="s">
        <v>26</v>
      </c>
      <c r="U89" s="9"/>
      <c r="V89" s="46">
        <v>1.0974600000000001</v>
      </c>
      <c r="W89" s="12"/>
      <c r="X89" s="22">
        <v>2.7490000000000001</v>
      </c>
      <c r="Y89" s="13" t="s">
        <v>26</v>
      </c>
      <c r="Z89" s="23">
        <v>5.2828999999999997</v>
      </c>
      <c r="AA89" s="22">
        <v>2.2985500000000001</v>
      </c>
      <c r="AB89" s="13"/>
      <c r="AC89" s="23">
        <v>2.2254999999999998</v>
      </c>
      <c r="AD89" s="9" t="s">
        <v>26</v>
      </c>
      <c r="AE89" s="22">
        <v>0.63029999999999997</v>
      </c>
      <c r="AF89" s="23">
        <v>1.0078499999999999</v>
      </c>
      <c r="AG89" s="9"/>
      <c r="AH89" s="9"/>
      <c r="AI89" s="9" t="s">
        <v>26</v>
      </c>
      <c r="AJ89" s="9"/>
      <c r="AK89" s="22">
        <v>13.775</v>
      </c>
      <c r="AL89" s="13"/>
      <c r="AM89" s="22">
        <v>5.5842999999999998</v>
      </c>
      <c r="AN89" s="9" t="s">
        <v>26</v>
      </c>
      <c r="AO89" s="22">
        <v>0.59001999999999999</v>
      </c>
      <c r="AP89" s="22">
        <v>2.2041900000000001</v>
      </c>
      <c r="AQ89" s="13"/>
      <c r="AR89" s="22">
        <v>6.4709000000000003</v>
      </c>
      <c r="AS89" s="9" t="s">
        <v>26</v>
      </c>
      <c r="AT89" s="22">
        <v>1.3552</v>
      </c>
      <c r="AU89" s="22">
        <v>2.0773199999999998</v>
      </c>
      <c r="AV89" s="13"/>
      <c r="AW89" s="22">
        <v>3.8448000000000002</v>
      </c>
      <c r="AX89" s="9" t="s">
        <v>26</v>
      </c>
      <c r="AY89" s="22">
        <v>5.2888999999999999</v>
      </c>
      <c r="AZ89" s="22">
        <v>13.258900000000001</v>
      </c>
      <c r="BA89" s="13"/>
      <c r="BB89" s="22">
        <v>0.71457999999999999</v>
      </c>
      <c r="BC89" s="9" t="s">
        <v>26</v>
      </c>
      <c r="BD89" s="22">
        <v>0.1774</v>
      </c>
      <c r="BE89" s="22">
        <v>0.89616499999999999</v>
      </c>
      <c r="BF89" s="13"/>
      <c r="BG89" s="22">
        <v>21.286999999999999</v>
      </c>
      <c r="BH89" s="9" t="s">
        <v>26</v>
      </c>
      <c r="BI89" s="22">
        <v>2.6480999999999999</v>
      </c>
      <c r="BJ89" s="23">
        <v>13.033099999999999</v>
      </c>
    </row>
    <row r="90" spans="1:62" ht="15" thickBot="1" x14ac:dyDescent="0.4">
      <c r="A90" s="13" t="s">
        <v>144</v>
      </c>
      <c r="B90" s="13"/>
      <c r="C90" s="13" t="s">
        <v>58</v>
      </c>
      <c r="D90" s="13" t="s">
        <v>65</v>
      </c>
      <c r="E90" s="13">
        <v>6.5645999999999996E-2</v>
      </c>
      <c r="F90" s="21">
        <v>44855</v>
      </c>
      <c r="G90" s="31">
        <v>2.6553703703703699</v>
      </c>
      <c r="H90" s="10"/>
      <c r="I90" s="18">
        <v>33.22</v>
      </c>
      <c r="J90" s="11" t="s">
        <v>26</v>
      </c>
      <c r="K90" s="19">
        <v>2.3252999999999999</v>
      </c>
      <c r="L90" s="18">
        <v>5.0798800000000002</v>
      </c>
      <c r="M90" s="11"/>
      <c r="N90" s="19">
        <v>24.263000000000002</v>
      </c>
      <c r="O90" s="10" t="s">
        <v>26</v>
      </c>
      <c r="P90" s="26">
        <v>2.6823999999999999</v>
      </c>
      <c r="Q90" s="19">
        <v>12.378299999999999</v>
      </c>
      <c r="R90" s="10"/>
      <c r="S90" s="11"/>
      <c r="T90" s="24" t="s">
        <v>26</v>
      </c>
      <c r="U90" s="10"/>
      <c r="V90" s="45">
        <v>0.69457599999999997</v>
      </c>
      <c r="W90" s="24"/>
      <c r="X90" s="18">
        <v>1.6332</v>
      </c>
      <c r="Y90" s="11" t="s">
        <v>26</v>
      </c>
      <c r="Z90" s="19">
        <v>0.37734000000000001</v>
      </c>
      <c r="AA90" s="18">
        <v>1.75885</v>
      </c>
      <c r="AB90" s="11"/>
      <c r="AC90" s="19">
        <v>2.1234000000000002</v>
      </c>
      <c r="AD90" s="10" t="s">
        <v>26</v>
      </c>
      <c r="AE90" s="18">
        <v>0.51741999999999999</v>
      </c>
      <c r="AF90" s="19">
        <v>0.68128900000000003</v>
      </c>
      <c r="AG90" s="9"/>
      <c r="AH90" s="22">
        <v>1.9924999999999999</v>
      </c>
      <c r="AI90" s="9" t="s">
        <v>26</v>
      </c>
      <c r="AJ90" s="22">
        <v>0.97443000000000002</v>
      </c>
      <c r="AK90" s="22">
        <v>4.6306399999999996</v>
      </c>
      <c r="AL90" s="13"/>
      <c r="AM90" s="22">
        <v>5.9173999999999998</v>
      </c>
      <c r="AN90" s="9" t="s">
        <v>26</v>
      </c>
      <c r="AO90" s="22">
        <v>0.26268000000000002</v>
      </c>
      <c r="AP90" s="22">
        <v>1.53155</v>
      </c>
      <c r="AQ90" s="13"/>
      <c r="AR90" s="22">
        <v>6.7537000000000003</v>
      </c>
      <c r="AS90" s="9" t="s">
        <v>26</v>
      </c>
      <c r="AT90" s="22">
        <v>0.87817000000000001</v>
      </c>
      <c r="AU90" s="22">
        <v>1.50664</v>
      </c>
      <c r="AV90" s="13"/>
      <c r="AW90" s="22">
        <v>0.70643</v>
      </c>
      <c r="AX90" s="9" t="s">
        <v>26</v>
      </c>
      <c r="AY90" s="22">
        <v>3.1114000000000002</v>
      </c>
      <c r="AZ90" s="22">
        <v>10.773</v>
      </c>
      <c r="BA90" s="13"/>
      <c r="BB90" s="22">
        <v>0.39106000000000002</v>
      </c>
      <c r="BC90" s="9" t="s">
        <v>26</v>
      </c>
      <c r="BD90" s="22">
        <v>0.11946</v>
      </c>
      <c r="BE90" s="22">
        <v>0.55157800000000001</v>
      </c>
      <c r="BF90" s="13"/>
      <c r="BG90" s="22">
        <v>19.329999999999998</v>
      </c>
      <c r="BH90" s="9" t="s">
        <v>26</v>
      </c>
      <c r="BI90" s="22">
        <v>5.1372999999999998</v>
      </c>
      <c r="BJ90" s="23">
        <v>11.9267</v>
      </c>
    </row>
    <row r="91" spans="1:62" ht="15" thickBot="1" x14ac:dyDescent="0.4">
      <c r="A91" s="13" t="s">
        <v>145</v>
      </c>
      <c r="B91" s="13"/>
      <c r="C91" s="13" t="s">
        <v>58</v>
      </c>
      <c r="D91" s="13" t="s">
        <v>65</v>
      </c>
      <c r="E91" s="13">
        <v>6.7882999999999999E-2</v>
      </c>
      <c r="F91" s="21">
        <v>44858</v>
      </c>
      <c r="G91" s="42">
        <v>1.9592129629629633</v>
      </c>
      <c r="H91" s="15"/>
      <c r="I91" s="16">
        <v>48.165999999999997</v>
      </c>
      <c r="J91" s="14" t="s">
        <v>26</v>
      </c>
      <c r="K91" s="17">
        <v>8.8505000000000003</v>
      </c>
      <c r="L91" s="16">
        <v>5.5978399999999997</v>
      </c>
      <c r="M91" s="14"/>
      <c r="N91" s="17">
        <v>28.08</v>
      </c>
      <c r="O91" s="15" t="s">
        <v>26</v>
      </c>
      <c r="P91" s="28">
        <v>7.8796999999999997</v>
      </c>
      <c r="Q91" s="17">
        <v>19.4145</v>
      </c>
      <c r="R91" s="15"/>
      <c r="S91" s="14"/>
      <c r="T91" s="27" t="s">
        <v>26</v>
      </c>
      <c r="U91" s="15"/>
      <c r="V91" s="44">
        <v>0.81023100000000003</v>
      </c>
      <c r="W91" s="27"/>
      <c r="X91" s="16">
        <v>3.0847000000000002</v>
      </c>
      <c r="Y91" s="14" t="s">
        <v>26</v>
      </c>
      <c r="Z91" s="17">
        <v>1.869</v>
      </c>
      <c r="AA91" s="16">
        <v>1.91597</v>
      </c>
      <c r="AB91" s="14"/>
      <c r="AC91" s="17">
        <v>3.1413000000000002</v>
      </c>
      <c r="AD91" s="15" t="s">
        <v>26</v>
      </c>
      <c r="AE91" s="16">
        <v>0.20727000000000001</v>
      </c>
      <c r="AF91" s="17">
        <v>0.75177300000000002</v>
      </c>
      <c r="AG91" s="9"/>
      <c r="AH91" s="9"/>
      <c r="AI91" s="9" t="s">
        <v>26</v>
      </c>
      <c r="AJ91" s="9"/>
      <c r="AK91" s="22">
        <v>9.5953400000000002</v>
      </c>
      <c r="AL91" s="13"/>
      <c r="AM91" s="22">
        <v>6.7558999999999996</v>
      </c>
      <c r="AN91" s="9" t="s">
        <v>26</v>
      </c>
      <c r="AO91" s="22">
        <v>0.46761999999999998</v>
      </c>
      <c r="AP91" s="22">
        <v>1.70624</v>
      </c>
      <c r="AQ91" s="13"/>
      <c r="AR91" s="22">
        <v>7.2324999999999999</v>
      </c>
      <c r="AS91" s="9" t="s">
        <v>26</v>
      </c>
      <c r="AT91" s="22">
        <v>0.42616999999999999</v>
      </c>
      <c r="AU91" s="22">
        <v>1.59073</v>
      </c>
      <c r="AV91" s="13"/>
      <c r="AW91" s="22">
        <v>4.0334000000000003</v>
      </c>
      <c r="AX91" s="9" t="s">
        <v>26</v>
      </c>
      <c r="AY91" s="22">
        <v>3.9375</v>
      </c>
      <c r="AZ91" s="22">
        <v>11.216100000000001</v>
      </c>
      <c r="BA91" s="13"/>
      <c r="BB91" s="22">
        <v>0.80940999999999996</v>
      </c>
      <c r="BC91" s="9" t="s">
        <v>26</v>
      </c>
      <c r="BD91" s="22">
        <v>0.42729</v>
      </c>
      <c r="BE91" s="22">
        <v>0.61855400000000005</v>
      </c>
      <c r="BF91" s="13"/>
      <c r="BG91" s="22">
        <v>14.608000000000001</v>
      </c>
      <c r="BH91" s="9" t="s">
        <v>26</v>
      </c>
      <c r="BI91" s="22">
        <v>1.9125000000000001</v>
      </c>
      <c r="BJ91" s="23">
        <v>10.0686</v>
      </c>
    </row>
    <row r="92" spans="1:62" ht="15" thickBot="1" x14ac:dyDescent="0.4">
      <c r="A92" s="13" t="s">
        <v>146</v>
      </c>
      <c r="B92" s="13"/>
      <c r="C92" s="13" t="s">
        <v>58</v>
      </c>
      <c r="D92" s="13" t="s">
        <v>65</v>
      </c>
      <c r="E92" s="13">
        <v>6.1469999999999997E-2</v>
      </c>
      <c r="F92" s="21">
        <v>44860</v>
      </c>
      <c r="G92" s="35">
        <v>1.0586921296296297</v>
      </c>
      <c r="H92" s="35"/>
      <c r="I92" s="36">
        <v>42.241</v>
      </c>
      <c r="J92" s="37" t="s">
        <v>26</v>
      </c>
      <c r="K92" s="36">
        <v>9.1471999999999998</v>
      </c>
      <c r="L92" s="36">
        <v>7.91472</v>
      </c>
      <c r="M92" s="35"/>
      <c r="N92" s="36">
        <v>35.475000000000001</v>
      </c>
      <c r="O92" s="37" t="s">
        <v>26</v>
      </c>
      <c r="P92" s="36">
        <v>4.5727000000000002</v>
      </c>
      <c r="Q92" s="36">
        <v>18.968900000000001</v>
      </c>
      <c r="R92" s="35"/>
      <c r="S92" s="37"/>
      <c r="T92" s="37" t="s">
        <v>26</v>
      </c>
      <c r="U92" s="37"/>
      <c r="V92" s="36">
        <v>1.22183</v>
      </c>
      <c r="W92" s="35"/>
      <c r="X92" s="36">
        <v>1.7225999999999999</v>
      </c>
      <c r="Y92" s="37" t="s">
        <v>26</v>
      </c>
      <c r="Z92" s="36">
        <v>0.60275999999999996</v>
      </c>
      <c r="AA92" s="36">
        <v>2.5414699999999999</v>
      </c>
      <c r="AB92" s="35"/>
      <c r="AC92" s="36">
        <v>3.0781999999999998</v>
      </c>
      <c r="AD92" s="37" t="s">
        <v>26</v>
      </c>
      <c r="AE92" s="36">
        <v>0.76336000000000004</v>
      </c>
      <c r="AF92" s="36">
        <v>1.1144099999999999</v>
      </c>
      <c r="AG92" s="13"/>
      <c r="AH92" s="9"/>
      <c r="AI92" s="9" t="s">
        <v>26</v>
      </c>
      <c r="AJ92" s="9"/>
      <c r="AK92" s="22">
        <v>14.8741</v>
      </c>
      <c r="AL92" s="13"/>
      <c r="AM92" s="22">
        <v>5.3089000000000004</v>
      </c>
      <c r="AN92" s="9" t="s">
        <v>26</v>
      </c>
      <c r="AO92" s="22">
        <v>0.62727999999999995</v>
      </c>
      <c r="AP92" s="22">
        <v>2.57274</v>
      </c>
      <c r="AQ92" s="13"/>
      <c r="AR92" s="22">
        <v>4.8266999999999998</v>
      </c>
      <c r="AS92" s="9" t="s">
        <v>26</v>
      </c>
      <c r="AT92" s="22">
        <v>1.3303</v>
      </c>
      <c r="AU92" s="22">
        <v>2.1911700000000001</v>
      </c>
      <c r="AV92" s="13"/>
      <c r="AW92" s="22">
        <v>6.3658000000000001</v>
      </c>
      <c r="AX92" s="9" t="s">
        <v>26</v>
      </c>
      <c r="AY92" s="22">
        <v>4.6680000000000001</v>
      </c>
      <c r="AZ92" s="22">
        <v>13.498900000000001</v>
      </c>
      <c r="BA92" s="13"/>
      <c r="BB92" s="22">
        <v>0.82994999999999997</v>
      </c>
      <c r="BC92" s="9" t="s">
        <v>26</v>
      </c>
      <c r="BD92" s="22">
        <v>0.19508</v>
      </c>
      <c r="BE92" s="22">
        <v>0.91843699999999995</v>
      </c>
      <c r="BF92" s="13"/>
      <c r="BG92" s="22">
        <v>9.7346000000000004</v>
      </c>
      <c r="BH92" s="9" t="s">
        <v>26</v>
      </c>
      <c r="BI92" s="22">
        <v>2.4279999999999999</v>
      </c>
      <c r="BJ92" s="23">
        <v>13.0481</v>
      </c>
    </row>
    <row r="93" spans="1:62" ht="15" thickBot="1" x14ac:dyDescent="0.4">
      <c r="A93" s="13" t="s">
        <v>147</v>
      </c>
      <c r="B93" s="13"/>
      <c r="C93" s="13" t="s">
        <v>58</v>
      </c>
      <c r="D93" s="13" t="s">
        <v>65</v>
      </c>
      <c r="E93" s="13">
        <v>6.2601000000000004E-2</v>
      </c>
      <c r="F93" s="21">
        <v>44861</v>
      </c>
      <c r="G93" s="30">
        <v>1.0085879629629628</v>
      </c>
      <c r="H93" s="9"/>
      <c r="I93" s="22">
        <v>27.715</v>
      </c>
      <c r="J93" s="13" t="s">
        <v>26</v>
      </c>
      <c r="K93" s="23">
        <v>3.0655999999999999</v>
      </c>
      <c r="L93" s="22">
        <v>9.2072500000000002</v>
      </c>
      <c r="M93" s="13"/>
      <c r="N93" s="23">
        <v>30.59</v>
      </c>
      <c r="O93" s="9" t="s">
        <v>26</v>
      </c>
      <c r="P93" s="25">
        <v>4.2930000000000001</v>
      </c>
      <c r="Q93" s="23">
        <v>30.2026</v>
      </c>
      <c r="R93" s="9"/>
      <c r="S93" s="13"/>
      <c r="T93" s="12" t="s">
        <v>26</v>
      </c>
      <c r="U93" s="9"/>
      <c r="V93" s="46">
        <v>1.22658</v>
      </c>
      <c r="W93" s="12"/>
      <c r="X93" s="22">
        <v>1.3580000000000001</v>
      </c>
      <c r="Y93" s="13" t="s">
        <v>26</v>
      </c>
      <c r="Z93" s="23">
        <v>0.57647999999999999</v>
      </c>
      <c r="AA93" s="22">
        <v>2.4322300000000001</v>
      </c>
      <c r="AB93" s="13"/>
      <c r="AC93" s="23">
        <v>1.9570000000000001</v>
      </c>
      <c r="AD93" s="9" t="s">
        <v>26</v>
      </c>
      <c r="AE93" s="22">
        <v>0.26685999999999999</v>
      </c>
      <c r="AF93" s="23">
        <v>1.0701799999999999</v>
      </c>
      <c r="AG93" s="9"/>
      <c r="AH93" s="9"/>
      <c r="AI93" s="9" t="s">
        <v>26</v>
      </c>
      <c r="AJ93" s="9"/>
      <c r="AK93" s="22">
        <v>14.767300000000001</v>
      </c>
      <c r="AL93" s="13"/>
      <c r="AM93" s="22">
        <v>4.2316000000000003</v>
      </c>
      <c r="AN93" s="9" t="s">
        <v>26</v>
      </c>
      <c r="AO93" s="22">
        <v>1.6266</v>
      </c>
      <c r="AP93" s="22">
        <v>2.6152199999999999</v>
      </c>
      <c r="AQ93" s="13"/>
      <c r="AR93" s="22">
        <v>4.8272000000000004</v>
      </c>
      <c r="AS93" s="9" t="s">
        <v>26</v>
      </c>
      <c r="AT93" s="22">
        <v>1.3998999999999999</v>
      </c>
      <c r="AU93" s="22">
        <v>2.16412</v>
      </c>
      <c r="AV93" s="13"/>
      <c r="AW93" s="22">
        <v>3.1696</v>
      </c>
      <c r="AX93" s="9" t="s">
        <v>26</v>
      </c>
      <c r="AY93" s="22">
        <v>3.5912000000000002</v>
      </c>
      <c r="AZ93" s="22">
        <v>13.331300000000001</v>
      </c>
      <c r="BA93" s="13"/>
      <c r="BB93" s="22">
        <v>0.78951000000000005</v>
      </c>
      <c r="BC93" s="9" t="s">
        <v>26</v>
      </c>
      <c r="BD93" s="22">
        <v>0.60138000000000003</v>
      </c>
      <c r="BE93" s="22">
        <v>0.82892999999999994</v>
      </c>
      <c r="BF93" s="13"/>
      <c r="BG93" s="22">
        <v>13.122</v>
      </c>
      <c r="BH93" s="9" t="s">
        <v>26</v>
      </c>
      <c r="BI93" s="22">
        <v>2.5493999999999999</v>
      </c>
      <c r="BJ93" s="23">
        <v>10.9245</v>
      </c>
    </row>
    <row r="94" spans="1:62" ht="15" thickBot="1" x14ac:dyDescent="0.4">
      <c r="A94" s="13" t="s">
        <v>148</v>
      </c>
      <c r="B94" s="13"/>
      <c r="C94" s="13" t="s">
        <v>58</v>
      </c>
      <c r="D94" s="13" t="s">
        <v>65</v>
      </c>
      <c r="E94" s="13">
        <v>6.7488000000000006E-2</v>
      </c>
      <c r="F94" s="21">
        <v>44862</v>
      </c>
      <c r="G94" s="30">
        <v>2.7641898148148147</v>
      </c>
      <c r="H94" s="9"/>
      <c r="I94" s="22">
        <v>31.555</v>
      </c>
      <c r="J94" s="13" t="s">
        <v>26</v>
      </c>
      <c r="K94" s="23">
        <v>6.1022999999999996</v>
      </c>
      <c r="L94" s="22">
        <v>5.3644600000000002</v>
      </c>
      <c r="M94" s="13"/>
      <c r="N94" s="23">
        <v>34.392000000000003</v>
      </c>
      <c r="O94" s="9" t="s">
        <v>26</v>
      </c>
      <c r="P94" s="25">
        <v>7.2134999999999998</v>
      </c>
      <c r="Q94" s="23">
        <v>12.7514</v>
      </c>
      <c r="R94" s="9"/>
      <c r="S94" s="13"/>
      <c r="T94" s="12" t="s">
        <v>26</v>
      </c>
      <c r="U94" s="9"/>
      <c r="V94" s="46">
        <v>0.67686100000000005</v>
      </c>
      <c r="W94" s="12"/>
      <c r="X94" s="22">
        <v>1.5711999999999999</v>
      </c>
      <c r="Y94" s="13" t="s">
        <v>26</v>
      </c>
      <c r="Z94" s="23">
        <v>1.8752</v>
      </c>
      <c r="AA94" s="22">
        <v>1.50569</v>
      </c>
      <c r="AB94" s="13"/>
      <c r="AC94" s="23">
        <v>1.6809000000000001</v>
      </c>
      <c r="AD94" s="9" t="s">
        <v>26</v>
      </c>
      <c r="AE94" s="22">
        <v>0.24337</v>
      </c>
      <c r="AF94" s="23">
        <v>0.65990300000000002</v>
      </c>
      <c r="AG94" s="9"/>
      <c r="AH94" s="9"/>
      <c r="AI94" s="9" t="s">
        <v>26</v>
      </c>
      <c r="AJ94" s="9"/>
      <c r="AK94" s="22">
        <v>8.35853</v>
      </c>
      <c r="AL94" s="13"/>
      <c r="AM94" s="22">
        <v>4.5035999999999996</v>
      </c>
      <c r="AN94" s="9" t="s">
        <v>26</v>
      </c>
      <c r="AO94" s="22">
        <v>0.37927</v>
      </c>
      <c r="AP94" s="22">
        <v>1.5693699999999999</v>
      </c>
      <c r="AQ94" s="13"/>
      <c r="AR94" s="22">
        <v>3.2923</v>
      </c>
      <c r="AS94" s="9" t="s">
        <v>26</v>
      </c>
      <c r="AT94" s="22">
        <v>0.69679999999999997</v>
      </c>
      <c r="AU94" s="22">
        <v>1.3234600000000001</v>
      </c>
      <c r="AV94" s="13"/>
      <c r="AW94" s="22">
        <v>1.1244000000000001</v>
      </c>
      <c r="AX94" s="9" t="s">
        <v>26</v>
      </c>
      <c r="AY94" s="22">
        <v>3.9830999999999999</v>
      </c>
      <c r="AZ94" s="22">
        <v>10.7402</v>
      </c>
      <c r="BA94" s="13"/>
      <c r="BB94" s="22">
        <v>0.46100999999999998</v>
      </c>
      <c r="BC94" s="9" t="s">
        <v>26</v>
      </c>
      <c r="BD94" s="22">
        <v>0.35032999999999997</v>
      </c>
      <c r="BE94" s="22">
        <v>0.55527800000000005</v>
      </c>
      <c r="BF94" s="13"/>
      <c r="BG94" s="22">
        <v>16.023</v>
      </c>
      <c r="BH94" s="9" t="s">
        <v>26</v>
      </c>
      <c r="BI94" s="22">
        <v>4.5092999999999996</v>
      </c>
      <c r="BJ94" s="23">
        <v>7.6725700000000003</v>
      </c>
    </row>
    <row r="95" spans="1:62" ht="15" thickBot="1" x14ac:dyDescent="0.4">
      <c r="A95" s="13" t="s">
        <v>149</v>
      </c>
      <c r="B95" s="13"/>
      <c r="C95" s="13" t="s">
        <v>58</v>
      </c>
      <c r="D95" s="13" t="s">
        <v>65</v>
      </c>
      <c r="E95" s="13">
        <v>6.1612E-2</v>
      </c>
      <c r="F95" s="21">
        <v>44865</v>
      </c>
      <c r="G95" s="31">
        <v>0.93589120370370382</v>
      </c>
      <c r="H95" s="10"/>
      <c r="I95" s="18">
        <v>28.158999999999999</v>
      </c>
      <c r="J95" s="11" t="s">
        <v>26</v>
      </c>
      <c r="K95" s="19">
        <v>13.96</v>
      </c>
      <c r="L95" s="18">
        <v>7.64323</v>
      </c>
      <c r="M95" s="11"/>
      <c r="N95" s="19">
        <v>15.936999999999999</v>
      </c>
      <c r="O95" s="10" t="s">
        <v>26</v>
      </c>
      <c r="P95" s="26">
        <v>3.3170000000000002</v>
      </c>
      <c r="Q95" s="19">
        <v>22.119</v>
      </c>
      <c r="R95" s="10"/>
      <c r="S95" s="11"/>
      <c r="T95" s="24" t="s">
        <v>26</v>
      </c>
      <c r="U95" s="10"/>
      <c r="V95" s="45">
        <v>1.26613</v>
      </c>
      <c r="W95" s="24"/>
      <c r="X95" s="18">
        <v>1.4681999999999999</v>
      </c>
      <c r="Y95" s="11" t="s">
        <v>26</v>
      </c>
      <c r="Z95" s="19">
        <v>0.61262000000000005</v>
      </c>
      <c r="AA95" s="18">
        <v>2.5898599999999998</v>
      </c>
      <c r="AB95" s="11"/>
      <c r="AC95" s="19">
        <v>3.3748</v>
      </c>
      <c r="AD95" s="10" t="s">
        <v>26</v>
      </c>
      <c r="AE95" s="18">
        <v>0.73453999999999997</v>
      </c>
      <c r="AF95" s="19">
        <v>1.13863</v>
      </c>
      <c r="AG95" s="9"/>
      <c r="AH95" s="22">
        <v>3.6097000000000001</v>
      </c>
      <c r="AI95" s="9" t="s">
        <v>26</v>
      </c>
      <c r="AJ95" s="22">
        <v>1.6296999999999999</v>
      </c>
      <c r="AK95" s="22">
        <v>7.7062900000000001</v>
      </c>
      <c r="AL95" s="13"/>
      <c r="AM95" s="22">
        <v>5.9191000000000003</v>
      </c>
      <c r="AN95" s="9" t="s">
        <v>26</v>
      </c>
      <c r="AO95" s="22">
        <v>1.8492999999999999</v>
      </c>
      <c r="AP95" s="22">
        <v>2.7221299999999999</v>
      </c>
      <c r="AQ95" s="13"/>
      <c r="AR95" s="22">
        <v>5.734</v>
      </c>
      <c r="AS95" s="9" t="s">
        <v>26</v>
      </c>
      <c r="AT95" s="22">
        <v>1.6122000000000001</v>
      </c>
      <c r="AU95" s="22">
        <v>2.27258</v>
      </c>
      <c r="AV95" s="13"/>
      <c r="AW95" s="22">
        <v>13.794</v>
      </c>
      <c r="AX95" s="9" t="s">
        <v>26</v>
      </c>
      <c r="AY95" s="22">
        <v>3.7732000000000001</v>
      </c>
      <c r="AZ95" s="22">
        <v>16.607299999999999</v>
      </c>
      <c r="BA95" s="13"/>
      <c r="BB95" s="22">
        <v>0.49922</v>
      </c>
      <c r="BC95" s="9" t="s">
        <v>26</v>
      </c>
      <c r="BD95" s="22">
        <v>0.19524</v>
      </c>
      <c r="BE95" s="22">
        <v>0.86636000000000002</v>
      </c>
      <c r="BF95" s="13"/>
      <c r="BG95" s="22">
        <v>17.957999999999998</v>
      </c>
      <c r="BH95" s="9" t="s">
        <v>26</v>
      </c>
      <c r="BI95" s="22">
        <v>8.4473000000000003</v>
      </c>
      <c r="BJ95" s="23">
        <v>18.855699999999999</v>
      </c>
    </row>
    <row r="96" spans="1:62" ht="15" thickBot="1" x14ac:dyDescent="0.4">
      <c r="A96" s="13" t="s">
        <v>150</v>
      </c>
      <c r="B96" s="13"/>
      <c r="C96" s="13" t="s">
        <v>58</v>
      </c>
      <c r="D96" s="13" t="s">
        <v>65</v>
      </c>
      <c r="E96" s="13">
        <v>6.3698000000000005E-2</v>
      </c>
      <c r="F96" s="21">
        <v>44866</v>
      </c>
      <c r="G96" s="42">
        <v>0.99031249999999993</v>
      </c>
      <c r="H96" s="15"/>
      <c r="I96" s="16">
        <v>27.044</v>
      </c>
      <c r="J96" s="14" t="s">
        <v>26</v>
      </c>
      <c r="K96" s="17">
        <v>4.2977999999999996</v>
      </c>
      <c r="L96" s="16">
        <v>8.3671600000000002</v>
      </c>
      <c r="M96" s="14"/>
      <c r="N96" s="17">
        <v>17.346</v>
      </c>
      <c r="O96" s="15" t="s">
        <v>26</v>
      </c>
      <c r="P96" s="28">
        <v>3.5484</v>
      </c>
      <c r="Q96" s="17">
        <v>21.1068</v>
      </c>
      <c r="R96" s="15"/>
      <c r="S96" s="14"/>
      <c r="T96" s="27" t="s">
        <v>26</v>
      </c>
      <c r="U96" s="15"/>
      <c r="V96" s="44">
        <v>1.2329399999999999</v>
      </c>
      <c r="W96" s="27"/>
      <c r="X96" s="16">
        <v>4.3155999999999999</v>
      </c>
      <c r="Y96" s="14" t="s">
        <v>26</v>
      </c>
      <c r="Z96" s="17">
        <v>2.5394999999999999</v>
      </c>
      <c r="AA96" s="16">
        <v>3.92049</v>
      </c>
      <c r="AB96" s="14"/>
      <c r="AC96" s="17">
        <v>1.6568000000000001</v>
      </c>
      <c r="AD96" s="15" t="s">
        <v>26</v>
      </c>
      <c r="AE96" s="16">
        <v>0.26545000000000002</v>
      </c>
      <c r="AF96" s="17">
        <v>1.12025</v>
      </c>
      <c r="AG96" s="10"/>
      <c r="AH96" s="10"/>
      <c r="AI96" s="10" t="s">
        <v>26</v>
      </c>
      <c r="AJ96" s="10"/>
      <c r="AK96" s="18">
        <v>15.4771</v>
      </c>
      <c r="AL96" s="11"/>
      <c r="AM96" s="18">
        <v>5.5335999999999999</v>
      </c>
      <c r="AN96" s="10" t="s">
        <v>26</v>
      </c>
      <c r="AO96" s="18">
        <v>0.62785999999999997</v>
      </c>
      <c r="AP96" s="18">
        <v>2.5270100000000002</v>
      </c>
      <c r="AQ96" s="11"/>
      <c r="AR96" s="18">
        <v>5.0903999999999998</v>
      </c>
      <c r="AS96" s="10" t="s">
        <v>26</v>
      </c>
      <c r="AT96" s="18">
        <v>0.78754999999999997</v>
      </c>
      <c r="AU96" s="18">
        <v>2.1286800000000001</v>
      </c>
      <c r="AV96" s="11"/>
      <c r="AW96" s="18">
        <v>6.5711000000000004</v>
      </c>
      <c r="AX96" s="10" t="s">
        <v>26</v>
      </c>
      <c r="AY96" s="18">
        <v>3.5407000000000002</v>
      </c>
      <c r="AZ96" s="18">
        <v>14.0974</v>
      </c>
      <c r="BA96" s="11"/>
      <c r="BB96" s="18">
        <v>0.74434</v>
      </c>
      <c r="BC96" s="10" t="s">
        <v>26</v>
      </c>
      <c r="BD96" s="18">
        <v>0.18926000000000001</v>
      </c>
      <c r="BE96" s="18">
        <v>0.85753900000000005</v>
      </c>
      <c r="BF96" s="11"/>
      <c r="BG96" s="18">
        <v>17.021999999999998</v>
      </c>
      <c r="BH96" s="10" t="s">
        <v>26</v>
      </c>
      <c r="BI96" s="18">
        <v>2.6873</v>
      </c>
      <c r="BJ96" s="19">
        <v>13.119</v>
      </c>
    </row>
    <row r="97" spans="1:62" ht="15" thickBot="1" x14ac:dyDescent="0.4">
      <c r="A97" s="10" t="s">
        <v>151</v>
      </c>
      <c r="B97" s="10"/>
      <c r="C97" s="11" t="s">
        <v>58</v>
      </c>
      <c r="D97" s="11" t="s">
        <v>65</v>
      </c>
      <c r="E97" s="11">
        <v>6.5294000000000005E-2</v>
      </c>
      <c r="F97" s="20">
        <v>44867</v>
      </c>
      <c r="G97" s="35">
        <v>0.97988425925925926</v>
      </c>
      <c r="H97" s="35"/>
      <c r="I97" s="36">
        <v>26.751999999999999</v>
      </c>
      <c r="J97" s="37" t="s">
        <v>26</v>
      </c>
      <c r="K97" s="36">
        <v>8.8127999999999993</v>
      </c>
      <c r="L97" s="36">
        <v>11.654500000000001</v>
      </c>
      <c r="M97" s="35"/>
      <c r="N97" s="36">
        <v>27.550999999999998</v>
      </c>
      <c r="O97" s="37" t="s">
        <v>26</v>
      </c>
      <c r="P97" s="36">
        <v>4.0437000000000003</v>
      </c>
      <c r="Q97" s="36">
        <v>18.726299999999998</v>
      </c>
      <c r="R97" s="35"/>
      <c r="S97" s="37"/>
      <c r="T97" s="37" t="s">
        <v>26</v>
      </c>
      <c r="U97" s="37"/>
      <c r="V97" s="36">
        <v>1.2035100000000001</v>
      </c>
      <c r="W97" s="35"/>
      <c r="X97" s="36">
        <v>2.2267000000000001</v>
      </c>
      <c r="Y97" s="37" t="s">
        <v>26</v>
      </c>
      <c r="Z97" s="36">
        <v>5.2112999999999996</v>
      </c>
      <c r="AA97" s="36">
        <v>2.4154100000000001</v>
      </c>
      <c r="AB97" s="35"/>
      <c r="AC97" s="36">
        <v>2.6857000000000002</v>
      </c>
      <c r="AD97" s="37" t="s">
        <v>26</v>
      </c>
      <c r="AE97" s="36">
        <v>0.27407999999999999</v>
      </c>
      <c r="AF97" s="36">
        <v>1.0729200000000001</v>
      </c>
      <c r="AG97" s="14"/>
      <c r="AH97" s="15"/>
      <c r="AI97" s="15" t="s">
        <v>26</v>
      </c>
      <c r="AJ97" s="15"/>
      <c r="AK97" s="16">
        <v>14.321199999999999</v>
      </c>
      <c r="AL97" s="14"/>
      <c r="AM97" s="16">
        <v>6.0381999999999998</v>
      </c>
      <c r="AN97" s="15" t="s">
        <v>26</v>
      </c>
      <c r="AO97" s="16">
        <v>0.62485999999999997</v>
      </c>
      <c r="AP97" s="16">
        <v>2.4417900000000001</v>
      </c>
      <c r="AQ97" s="14"/>
      <c r="AR97" s="16">
        <v>5.8296000000000001</v>
      </c>
      <c r="AS97" s="15" t="s">
        <v>26</v>
      </c>
      <c r="AT97" s="16">
        <v>1.8108</v>
      </c>
      <c r="AU97" s="16">
        <v>2.1543600000000001</v>
      </c>
      <c r="AV97" s="14"/>
      <c r="AW97" s="16">
        <v>22.57</v>
      </c>
      <c r="AX97" s="15" t="s">
        <v>26</v>
      </c>
      <c r="AY97" s="16">
        <v>9.6378000000000004</v>
      </c>
      <c r="AZ97" s="16">
        <v>16.008199999999999</v>
      </c>
      <c r="BA97" s="14"/>
      <c r="BB97" s="16">
        <v>0.87139999999999995</v>
      </c>
      <c r="BC97" s="15" t="s">
        <v>26</v>
      </c>
      <c r="BD97" s="16">
        <v>0.19214999999999999</v>
      </c>
      <c r="BE97" s="16">
        <v>0.868699</v>
      </c>
      <c r="BF97" s="14"/>
      <c r="BG97" s="16">
        <v>9.6443999999999992</v>
      </c>
      <c r="BH97" s="15" t="s">
        <v>26</v>
      </c>
      <c r="BI97" s="16">
        <v>2.5074000000000001</v>
      </c>
      <c r="BJ97" s="17">
        <v>13.9739</v>
      </c>
    </row>
    <row r="98" spans="1:62" ht="15" thickBot="1" x14ac:dyDescent="0.4">
      <c r="G98" s="13"/>
      <c r="H98" s="9"/>
      <c r="I98" s="9"/>
      <c r="J98" s="13"/>
      <c r="K98" s="12"/>
      <c r="L98" s="9"/>
      <c r="M98" s="13"/>
      <c r="N98" s="12"/>
      <c r="O98" s="9"/>
      <c r="P98" s="13"/>
      <c r="Q98" s="12"/>
      <c r="R98" s="9"/>
      <c r="S98" s="13"/>
      <c r="T98" s="12"/>
      <c r="U98" s="9"/>
      <c r="V98" s="13"/>
      <c r="W98" s="12"/>
      <c r="X98" s="9"/>
      <c r="Y98" s="13"/>
      <c r="Z98" s="12"/>
      <c r="AA98" s="9"/>
      <c r="AB98" s="13"/>
      <c r="AC98" s="12"/>
      <c r="AD98" s="9"/>
      <c r="AE98" s="9"/>
      <c r="AF98" s="12"/>
    </row>
    <row r="99" spans="1:62" ht="15" thickBot="1" x14ac:dyDescent="0.4">
      <c r="G99" s="13"/>
      <c r="H99" s="9"/>
      <c r="I99" s="9"/>
      <c r="J99" s="13"/>
      <c r="K99" s="12"/>
      <c r="L99" s="9"/>
      <c r="M99" s="13"/>
      <c r="N99" s="12"/>
      <c r="O99" s="9"/>
      <c r="P99" s="13"/>
      <c r="Q99" s="12"/>
      <c r="R99" s="9"/>
      <c r="S99" s="13"/>
      <c r="T99" s="12"/>
      <c r="U99" s="9"/>
      <c r="V99" s="13"/>
      <c r="W99" s="12"/>
      <c r="X99" s="9"/>
      <c r="Y99" s="13"/>
      <c r="Z99" s="12"/>
      <c r="AA99" s="9"/>
      <c r="AB99" s="13"/>
      <c r="AC99" s="12"/>
      <c r="AD99" s="9"/>
      <c r="AE99" s="9"/>
      <c r="AF99" s="12"/>
    </row>
    <row r="100" spans="1:62" ht="15" thickBot="1" x14ac:dyDescent="0.4">
      <c r="G100" s="31"/>
      <c r="H100" s="10" t="s">
        <v>18</v>
      </c>
      <c r="I100" s="10" t="s">
        <v>24</v>
      </c>
      <c r="J100" s="11"/>
      <c r="K100" s="24"/>
      <c r="L100" s="10"/>
      <c r="M100" s="11" t="s">
        <v>1</v>
      </c>
      <c r="N100" s="24" t="s">
        <v>23</v>
      </c>
      <c r="O100" s="10"/>
      <c r="P100" s="11"/>
      <c r="Q100" s="24"/>
      <c r="R100" s="10" t="s">
        <v>2</v>
      </c>
      <c r="S100" s="11" t="s">
        <v>41</v>
      </c>
      <c r="T100" s="24"/>
      <c r="U100" s="10"/>
      <c r="V100" s="31"/>
      <c r="W100" s="24" t="s">
        <v>7</v>
      </c>
      <c r="X100" s="10" t="s">
        <v>50</v>
      </c>
      <c r="Y100" s="11"/>
      <c r="Z100" s="24"/>
      <c r="AA100" s="10"/>
      <c r="AB100" s="11" t="s">
        <v>16</v>
      </c>
      <c r="AC100" s="24" t="s">
        <v>51</v>
      </c>
      <c r="AD100" s="10"/>
      <c r="AE100" s="10"/>
      <c r="AF100" s="24"/>
      <c r="AG100" s="9" t="s">
        <v>17</v>
      </c>
      <c r="AH100" s="9" t="s">
        <v>52</v>
      </c>
      <c r="AI100" s="9"/>
      <c r="AJ100" s="9"/>
      <c r="AK100" s="9"/>
      <c r="AL100" s="13" t="s">
        <v>19</v>
      </c>
      <c r="AM100" s="9" t="s">
        <v>53</v>
      </c>
      <c r="AN100" s="9"/>
      <c r="AO100" s="9"/>
      <c r="AP100" s="9"/>
      <c r="AQ100" s="13" t="s">
        <v>21</v>
      </c>
      <c r="AR100" s="9" t="s">
        <v>54</v>
      </c>
      <c r="AS100" s="9"/>
      <c r="AT100" s="9"/>
      <c r="AU100" s="9"/>
      <c r="AV100" s="13" t="s">
        <v>56</v>
      </c>
      <c r="AW100" s="9" t="s">
        <v>57</v>
      </c>
      <c r="AX100" s="9"/>
      <c r="AY100" s="9"/>
      <c r="AZ100" s="9"/>
      <c r="BA100" s="13" t="s">
        <v>60</v>
      </c>
      <c r="BB100" s="9" t="s">
        <v>61</v>
      </c>
      <c r="BC100" s="9"/>
      <c r="BD100" s="9"/>
      <c r="BE100" s="9"/>
      <c r="BF100" s="13" t="s">
        <v>62</v>
      </c>
      <c r="BG100" s="9" t="s">
        <v>63</v>
      </c>
      <c r="BH100" s="9"/>
      <c r="BI100" s="9"/>
      <c r="BJ100" s="12"/>
    </row>
    <row r="101" spans="1:62" ht="15" thickBot="1" x14ac:dyDescent="0.4">
      <c r="A101" s="13" t="s">
        <v>30</v>
      </c>
      <c r="B101" s="13"/>
      <c r="C101" s="13" t="s">
        <v>29</v>
      </c>
      <c r="D101" s="13" t="s">
        <v>31</v>
      </c>
      <c r="E101" s="13" t="s">
        <v>27</v>
      </c>
      <c r="F101" s="13" t="s">
        <v>25</v>
      </c>
      <c r="G101" s="42" t="s">
        <v>28</v>
      </c>
      <c r="H101" s="15" t="s">
        <v>33</v>
      </c>
      <c r="I101" s="15" t="s">
        <v>34</v>
      </c>
      <c r="J101" s="14"/>
      <c r="K101" s="27" t="s">
        <v>35</v>
      </c>
      <c r="L101" s="15" t="s">
        <v>36</v>
      </c>
      <c r="M101" s="14" t="s">
        <v>33</v>
      </c>
      <c r="N101" s="27" t="s">
        <v>34</v>
      </c>
      <c r="O101" s="15"/>
      <c r="P101" s="14" t="s">
        <v>35</v>
      </c>
      <c r="Q101" s="27" t="s">
        <v>36</v>
      </c>
      <c r="R101" s="15" t="s">
        <v>33</v>
      </c>
      <c r="S101" s="14" t="s">
        <v>34</v>
      </c>
      <c r="T101" s="27"/>
      <c r="U101" s="15" t="s">
        <v>35</v>
      </c>
      <c r="V101" s="42" t="s">
        <v>36</v>
      </c>
      <c r="W101" s="27" t="s">
        <v>33</v>
      </c>
      <c r="X101" s="15" t="s">
        <v>34</v>
      </c>
      <c r="Y101" s="14"/>
      <c r="Z101" s="27" t="s">
        <v>35</v>
      </c>
      <c r="AA101" s="15" t="s">
        <v>36</v>
      </c>
      <c r="AB101" s="14" t="s">
        <v>33</v>
      </c>
      <c r="AC101" s="27" t="s">
        <v>34</v>
      </c>
      <c r="AD101" s="15"/>
      <c r="AE101" s="15" t="s">
        <v>35</v>
      </c>
      <c r="AF101" s="27" t="s">
        <v>36</v>
      </c>
      <c r="AG101" s="9" t="s">
        <v>33</v>
      </c>
      <c r="AH101" s="9" t="s">
        <v>34</v>
      </c>
      <c r="AI101" s="9"/>
      <c r="AJ101" s="9" t="s">
        <v>35</v>
      </c>
      <c r="AK101" s="9" t="s">
        <v>36</v>
      </c>
      <c r="AL101" s="13" t="s">
        <v>33</v>
      </c>
      <c r="AM101" s="9" t="s">
        <v>34</v>
      </c>
      <c r="AN101" s="9"/>
      <c r="AO101" s="9" t="s">
        <v>35</v>
      </c>
      <c r="AP101" s="9" t="s">
        <v>36</v>
      </c>
      <c r="AQ101" s="13" t="s">
        <v>33</v>
      </c>
      <c r="AR101" s="9" t="s">
        <v>34</v>
      </c>
      <c r="AS101" s="9"/>
      <c r="AT101" s="9" t="s">
        <v>35</v>
      </c>
      <c r="AU101" s="9" t="s">
        <v>36</v>
      </c>
      <c r="AV101" s="13" t="s">
        <v>33</v>
      </c>
      <c r="AW101" s="9" t="s">
        <v>34</v>
      </c>
      <c r="AX101" s="9"/>
      <c r="AY101" s="9" t="s">
        <v>35</v>
      </c>
      <c r="AZ101" s="9" t="s">
        <v>36</v>
      </c>
      <c r="BA101" s="13" t="s">
        <v>33</v>
      </c>
      <c r="BB101" s="9" t="s">
        <v>34</v>
      </c>
      <c r="BC101" s="9"/>
      <c r="BD101" s="9" t="s">
        <v>35</v>
      </c>
      <c r="BE101" s="9" t="s">
        <v>36</v>
      </c>
      <c r="BF101" s="13" t="s">
        <v>33</v>
      </c>
      <c r="BG101" s="9" t="s">
        <v>34</v>
      </c>
      <c r="BH101" s="9"/>
      <c r="BI101" s="9" t="s">
        <v>35</v>
      </c>
      <c r="BJ101" s="12" t="s">
        <v>36</v>
      </c>
    </row>
    <row r="102" spans="1:62" ht="15" thickBot="1" x14ac:dyDescent="0.4">
      <c r="A102" s="13" t="s">
        <v>64</v>
      </c>
      <c r="B102" s="13"/>
      <c r="C102" s="13" t="s">
        <v>58</v>
      </c>
      <c r="D102" s="13" t="s">
        <v>65</v>
      </c>
      <c r="E102" s="13">
        <v>6.7449999999999996E-2</v>
      </c>
      <c r="F102" s="21">
        <v>44831</v>
      </c>
      <c r="G102" s="35">
        <v>1.8365625000000001</v>
      </c>
      <c r="H102" s="38">
        <v>57.58</v>
      </c>
      <c r="I102" s="37"/>
      <c r="J102" s="37" t="s">
        <v>26</v>
      </c>
      <c r="K102" s="36">
        <v>3.7456999999999998</v>
      </c>
      <c r="L102" s="36">
        <v>6.37087</v>
      </c>
      <c r="M102" s="38">
        <v>35.475000000000001</v>
      </c>
      <c r="N102" s="37"/>
      <c r="O102" s="37" t="s">
        <v>26</v>
      </c>
      <c r="P102" s="36">
        <v>5.4675000000000002</v>
      </c>
      <c r="Q102" s="36">
        <v>15.4472</v>
      </c>
      <c r="R102" s="35"/>
      <c r="S102" s="37"/>
      <c r="T102" s="37" t="s">
        <v>26</v>
      </c>
      <c r="U102" s="37"/>
      <c r="V102" s="36">
        <v>0.86351599999999995</v>
      </c>
      <c r="W102" s="38">
        <v>2.2631999999999999</v>
      </c>
      <c r="X102" s="37"/>
      <c r="Y102" s="37" t="s">
        <v>26</v>
      </c>
      <c r="Z102" s="36">
        <v>0.44851000000000002</v>
      </c>
      <c r="AA102" s="36">
        <v>2.0980099999999999</v>
      </c>
      <c r="AB102" s="38">
        <v>3.0863999999999998</v>
      </c>
      <c r="AC102" s="37"/>
      <c r="AD102" s="37" t="s">
        <v>26</v>
      </c>
      <c r="AE102" s="36">
        <v>0.63653000000000004</v>
      </c>
      <c r="AF102" s="36">
        <v>0.77461899999999995</v>
      </c>
      <c r="AG102" s="25">
        <v>3.3037000000000001</v>
      </c>
      <c r="AH102" s="9"/>
      <c r="AI102" s="9" t="s">
        <v>26</v>
      </c>
      <c r="AJ102" s="22">
        <v>0.53181999999999996</v>
      </c>
      <c r="AK102" s="22">
        <v>5.0949400000000002</v>
      </c>
      <c r="AL102" s="25">
        <v>6.5309999999999997</v>
      </c>
      <c r="AM102" s="9"/>
      <c r="AN102" s="9" t="s">
        <v>26</v>
      </c>
      <c r="AO102" s="22">
        <v>1.0805</v>
      </c>
      <c r="AP102" s="22">
        <v>1.8037000000000001</v>
      </c>
      <c r="AQ102" s="25">
        <v>6.8452999999999999</v>
      </c>
      <c r="AR102" s="9"/>
      <c r="AS102" s="9" t="s">
        <v>26</v>
      </c>
      <c r="AT102" s="22">
        <v>0.43573000000000001</v>
      </c>
      <c r="AU102" s="22">
        <v>1.6086</v>
      </c>
      <c r="AV102" s="25">
        <v>3.3616000000000001</v>
      </c>
      <c r="AW102" s="9"/>
      <c r="AX102" s="9" t="s">
        <v>26</v>
      </c>
      <c r="AY102" s="22">
        <v>3.0981999999999998</v>
      </c>
      <c r="AZ102" s="22">
        <v>10.8507</v>
      </c>
      <c r="BA102" s="25">
        <v>0.91923999999999995</v>
      </c>
      <c r="BB102" s="9"/>
      <c r="BC102" s="9" t="s">
        <v>26</v>
      </c>
      <c r="BD102" s="22">
        <v>0.14271</v>
      </c>
      <c r="BE102" s="22">
        <v>0.717032</v>
      </c>
      <c r="BF102" s="25">
        <v>16.311</v>
      </c>
      <c r="BG102" s="9"/>
      <c r="BH102" s="9" t="s">
        <v>26</v>
      </c>
      <c r="BI102" s="22">
        <v>5.2523999999999997</v>
      </c>
      <c r="BJ102" s="23">
        <v>10.446199999999999</v>
      </c>
    </row>
    <row r="103" spans="1:62" ht="15" thickBot="1" x14ac:dyDescent="0.4">
      <c r="A103" s="13" t="s">
        <v>134</v>
      </c>
      <c r="B103" s="13"/>
      <c r="C103" s="13" t="s">
        <v>58</v>
      </c>
      <c r="D103" s="13" t="s">
        <v>65</v>
      </c>
      <c r="E103" s="13">
        <v>6.0181999999999999E-2</v>
      </c>
      <c r="F103" s="21">
        <v>44868</v>
      </c>
      <c r="G103" s="30">
        <v>1.0556365740740741</v>
      </c>
      <c r="H103" s="22">
        <v>60.393000000000001</v>
      </c>
      <c r="I103" s="9"/>
      <c r="J103" s="13" t="s">
        <v>26</v>
      </c>
      <c r="K103" s="23">
        <v>4.5609000000000002</v>
      </c>
      <c r="L103" s="22">
        <v>10.413600000000001</v>
      </c>
      <c r="M103" s="13"/>
      <c r="N103" s="12"/>
      <c r="O103" s="9" t="s">
        <v>26</v>
      </c>
      <c r="P103" s="13"/>
      <c r="Q103" s="23">
        <v>25.5183</v>
      </c>
      <c r="R103" s="9"/>
      <c r="S103" s="13"/>
      <c r="T103" s="12" t="s">
        <v>26</v>
      </c>
      <c r="U103" s="9"/>
      <c r="V103" s="46">
        <v>1.29152</v>
      </c>
      <c r="W103" s="23">
        <v>0.33703</v>
      </c>
      <c r="X103" s="9"/>
      <c r="Y103" s="13" t="s">
        <v>26</v>
      </c>
      <c r="Z103" s="23">
        <v>2.2776999999999998</v>
      </c>
      <c r="AA103" s="22">
        <v>2.6755300000000002</v>
      </c>
      <c r="AB103" s="25">
        <v>3.6764999999999999</v>
      </c>
      <c r="AC103" s="12"/>
      <c r="AD103" s="9" t="s">
        <v>26</v>
      </c>
      <c r="AE103" s="22">
        <v>0.30414999999999998</v>
      </c>
      <c r="AF103" s="23">
        <v>1.13486</v>
      </c>
      <c r="AG103" s="9"/>
      <c r="AH103" s="9"/>
      <c r="AI103" s="9" t="s">
        <v>26</v>
      </c>
      <c r="AJ103" s="9"/>
      <c r="AK103" s="22">
        <v>15.1922</v>
      </c>
      <c r="AL103" s="25">
        <v>6.1662999999999997</v>
      </c>
      <c r="AM103" s="9"/>
      <c r="AN103" s="9" t="s">
        <v>26</v>
      </c>
      <c r="AO103" s="22">
        <v>0.65891999999999995</v>
      </c>
      <c r="AP103" s="22">
        <v>2.5699100000000001</v>
      </c>
      <c r="AQ103" s="25">
        <v>6.9795999999999996</v>
      </c>
      <c r="AR103" s="9"/>
      <c r="AS103" s="9" t="s">
        <v>26</v>
      </c>
      <c r="AT103" s="22">
        <v>0.59589999999999999</v>
      </c>
      <c r="AU103" s="22">
        <v>2.2222300000000001</v>
      </c>
      <c r="AV103" s="13"/>
      <c r="AW103" s="9"/>
      <c r="AX103" s="9" t="s">
        <v>26</v>
      </c>
      <c r="AY103" s="9"/>
      <c r="AZ103" s="22">
        <v>16.028099999999998</v>
      </c>
      <c r="BA103" s="25">
        <v>0.82371000000000005</v>
      </c>
      <c r="BB103" s="9"/>
      <c r="BC103" s="9" t="s">
        <v>26</v>
      </c>
      <c r="BD103" s="22">
        <v>0.19832</v>
      </c>
      <c r="BE103" s="22">
        <v>0.86111000000000004</v>
      </c>
      <c r="BF103" s="25">
        <v>9.0965000000000007</v>
      </c>
      <c r="BG103" s="9"/>
      <c r="BH103" s="9" t="s">
        <v>26</v>
      </c>
      <c r="BI103" s="22">
        <v>2.5305</v>
      </c>
      <c r="BJ103" s="23">
        <v>13.2128</v>
      </c>
    </row>
    <row r="104" spans="1:62" ht="15" thickBot="1" x14ac:dyDescent="0.4">
      <c r="A104" s="13" t="s">
        <v>135</v>
      </c>
      <c r="B104" s="13"/>
      <c r="C104" s="13" t="s">
        <v>58</v>
      </c>
      <c r="D104" s="13" t="s">
        <v>65</v>
      </c>
      <c r="E104" s="13">
        <v>6.2910999999999995E-2</v>
      </c>
      <c r="F104" s="21">
        <v>44869</v>
      </c>
      <c r="G104" s="30">
        <v>2.8124421296296291</v>
      </c>
      <c r="H104" s="22">
        <v>65.762</v>
      </c>
      <c r="I104" s="9"/>
      <c r="J104" s="13" t="s">
        <v>26</v>
      </c>
      <c r="K104" s="23">
        <v>3.9679000000000002</v>
      </c>
      <c r="L104" s="22">
        <v>6.1274499999999996</v>
      </c>
      <c r="M104" s="25">
        <v>24.846</v>
      </c>
      <c r="N104" s="12"/>
      <c r="O104" s="9" t="s">
        <v>26</v>
      </c>
      <c r="P104" s="25">
        <v>7.4318999999999997</v>
      </c>
      <c r="Q104" s="23">
        <v>12.8842</v>
      </c>
      <c r="R104" s="9"/>
      <c r="S104" s="13"/>
      <c r="T104" s="12" t="s">
        <v>26</v>
      </c>
      <c r="U104" s="9"/>
      <c r="V104" s="46">
        <v>0.74796899999999999</v>
      </c>
      <c r="W104" s="23">
        <v>3.9544999999999999</v>
      </c>
      <c r="X104" s="9"/>
      <c r="Y104" s="13" t="s">
        <v>26</v>
      </c>
      <c r="Z104" s="23">
        <v>1.9035</v>
      </c>
      <c r="AA104" s="22">
        <v>1.81073</v>
      </c>
      <c r="AB104" s="25">
        <v>3.746</v>
      </c>
      <c r="AC104" s="12"/>
      <c r="AD104" s="9" t="s">
        <v>26</v>
      </c>
      <c r="AE104" s="22">
        <v>0.45928999999999998</v>
      </c>
      <c r="AF104" s="23">
        <v>0.68185799999999996</v>
      </c>
      <c r="AG104" s="9"/>
      <c r="AH104" s="9"/>
      <c r="AI104" s="9" t="s">
        <v>26</v>
      </c>
      <c r="AJ104" s="9"/>
      <c r="AK104" s="22">
        <v>8.9425000000000008</v>
      </c>
      <c r="AL104" s="25">
        <v>8.3053000000000008</v>
      </c>
      <c r="AM104" s="9"/>
      <c r="AN104" s="9" t="s">
        <v>26</v>
      </c>
      <c r="AO104" s="22">
        <v>1.0517000000000001</v>
      </c>
      <c r="AP104" s="22">
        <v>1.7078800000000001</v>
      </c>
      <c r="AQ104" s="25">
        <v>7.7191000000000001</v>
      </c>
      <c r="AR104" s="9"/>
      <c r="AS104" s="9" t="s">
        <v>26</v>
      </c>
      <c r="AT104" s="22">
        <v>0.93657000000000001</v>
      </c>
      <c r="AU104" s="22">
        <v>1.4117500000000001</v>
      </c>
      <c r="AV104" s="25">
        <v>4.3798000000000004</v>
      </c>
      <c r="AW104" s="9"/>
      <c r="AX104" s="9" t="s">
        <v>26</v>
      </c>
      <c r="AY104" s="22">
        <v>3.3763000000000001</v>
      </c>
      <c r="AZ104" s="22">
        <v>11.463900000000001</v>
      </c>
      <c r="BA104" s="25">
        <v>1.0807</v>
      </c>
      <c r="BB104" s="9"/>
      <c r="BC104" s="9" t="s">
        <v>26</v>
      </c>
      <c r="BD104" s="22">
        <v>0.13117000000000001</v>
      </c>
      <c r="BE104" s="22">
        <v>0.60743999999999998</v>
      </c>
      <c r="BF104" s="25">
        <v>15.398999999999999</v>
      </c>
      <c r="BG104" s="9"/>
      <c r="BH104" s="9" t="s">
        <v>26</v>
      </c>
      <c r="BI104" s="22">
        <v>4.7835000000000001</v>
      </c>
      <c r="BJ104" s="23">
        <v>10.041700000000001</v>
      </c>
    </row>
    <row r="105" spans="1:62" ht="15" thickBot="1" x14ac:dyDescent="0.4">
      <c r="A105" s="13" t="s">
        <v>136</v>
      </c>
      <c r="B105" s="13"/>
      <c r="C105" s="13" t="s">
        <v>58</v>
      </c>
      <c r="D105" s="13" t="s">
        <v>65</v>
      </c>
      <c r="E105" s="13">
        <v>6.3035999999999995E-2</v>
      </c>
      <c r="F105" s="21">
        <v>44872</v>
      </c>
      <c r="G105" s="31">
        <v>1.0383564814814814</v>
      </c>
      <c r="H105" s="18">
        <v>65.019000000000005</v>
      </c>
      <c r="I105" s="10"/>
      <c r="J105" s="11" t="s">
        <v>26</v>
      </c>
      <c r="K105" s="19">
        <v>10.808</v>
      </c>
      <c r="L105" s="18">
        <v>9.1063799999999997</v>
      </c>
      <c r="M105" s="26">
        <v>27.524000000000001</v>
      </c>
      <c r="N105" s="24"/>
      <c r="O105" s="10" t="s">
        <v>26</v>
      </c>
      <c r="P105" s="26">
        <v>10.789</v>
      </c>
      <c r="Q105" s="19">
        <v>23.1936</v>
      </c>
      <c r="R105" s="10"/>
      <c r="S105" s="11"/>
      <c r="T105" s="24" t="s">
        <v>26</v>
      </c>
      <c r="U105" s="10"/>
      <c r="V105" s="45">
        <v>1.1472100000000001</v>
      </c>
      <c r="W105" s="19">
        <v>2.5678000000000001</v>
      </c>
      <c r="X105" s="10"/>
      <c r="Y105" s="11" t="s">
        <v>26</v>
      </c>
      <c r="Z105" s="19">
        <v>0.64293999999999996</v>
      </c>
      <c r="AA105" s="18">
        <v>2.6269499999999999</v>
      </c>
      <c r="AB105" s="26">
        <v>2.5190000000000001</v>
      </c>
      <c r="AC105" s="24"/>
      <c r="AD105" s="10" t="s">
        <v>26</v>
      </c>
      <c r="AE105" s="18">
        <v>0.27687</v>
      </c>
      <c r="AF105" s="19">
        <v>1.0603499999999999</v>
      </c>
      <c r="AG105" s="9"/>
      <c r="AH105" s="9"/>
      <c r="AI105" s="9" t="s">
        <v>26</v>
      </c>
      <c r="AJ105" s="9"/>
      <c r="AK105" s="22">
        <v>14.702999999999999</v>
      </c>
      <c r="AL105" s="25">
        <v>6.7652999999999999</v>
      </c>
      <c r="AM105" s="9"/>
      <c r="AN105" s="9" t="s">
        <v>26</v>
      </c>
      <c r="AO105" s="22">
        <v>0.62932999999999995</v>
      </c>
      <c r="AP105" s="22">
        <v>2.5324800000000001</v>
      </c>
      <c r="AQ105" s="25">
        <v>7.0651999999999999</v>
      </c>
      <c r="AR105" s="9"/>
      <c r="AS105" s="9" t="s">
        <v>26</v>
      </c>
      <c r="AT105" s="22">
        <v>0.57530000000000003</v>
      </c>
      <c r="AU105" s="22">
        <v>2.03776</v>
      </c>
      <c r="AV105" s="25">
        <v>18.178999999999998</v>
      </c>
      <c r="AW105" s="9"/>
      <c r="AX105" s="9" t="s">
        <v>26</v>
      </c>
      <c r="AY105" s="22">
        <v>10.067</v>
      </c>
      <c r="AZ105" s="22">
        <v>16.0581</v>
      </c>
      <c r="BA105" s="25">
        <v>0.65481999999999996</v>
      </c>
      <c r="BB105" s="9"/>
      <c r="BC105" s="9" t="s">
        <v>26</v>
      </c>
      <c r="BD105" s="22">
        <v>0.19087000000000001</v>
      </c>
      <c r="BE105" s="22">
        <v>0.87952300000000005</v>
      </c>
      <c r="BF105" s="13"/>
      <c r="BG105" s="9"/>
      <c r="BH105" s="9" t="s">
        <v>26</v>
      </c>
      <c r="BI105" s="9"/>
      <c r="BJ105" s="23">
        <v>16.760400000000001</v>
      </c>
    </row>
    <row r="106" spans="1:62" ht="15" thickBot="1" x14ac:dyDescent="0.4">
      <c r="A106" s="13" t="s">
        <v>137</v>
      </c>
      <c r="B106" s="13"/>
      <c r="C106" s="13" t="s">
        <v>58</v>
      </c>
      <c r="D106" s="13" t="s">
        <v>65</v>
      </c>
      <c r="E106" s="13">
        <v>6.2355000000000001E-2</v>
      </c>
      <c r="F106" s="21">
        <v>44873</v>
      </c>
      <c r="G106" s="42">
        <v>0.935613425925926</v>
      </c>
      <c r="H106" s="16">
        <v>56.45</v>
      </c>
      <c r="I106" s="15"/>
      <c r="J106" s="14" t="s">
        <v>26</v>
      </c>
      <c r="K106" s="17">
        <v>4.4687000000000001</v>
      </c>
      <c r="L106" s="16">
        <v>10.1374</v>
      </c>
      <c r="M106" s="28">
        <v>29.154</v>
      </c>
      <c r="N106" s="27"/>
      <c r="O106" s="15" t="s">
        <v>26</v>
      </c>
      <c r="P106" s="28">
        <v>4.4122000000000003</v>
      </c>
      <c r="Q106" s="17">
        <v>32.846800000000002</v>
      </c>
      <c r="R106" s="15"/>
      <c r="S106" s="14"/>
      <c r="T106" s="27" t="s">
        <v>26</v>
      </c>
      <c r="U106" s="15"/>
      <c r="V106" s="44">
        <v>1.2494000000000001</v>
      </c>
      <c r="W106" s="17">
        <v>1.9565999999999999</v>
      </c>
      <c r="X106" s="15"/>
      <c r="Y106" s="14" t="s">
        <v>26</v>
      </c>
      <c r="Z106" s="17">
        <v>1.2407999999999999</v>
      </c>
      <c r="AA106" s="16">
        <v>2.6667000000000001</v>
      </c>
      <c r="AB106" s="28">
        <v>2.7202000000000002</v>
      </c>
      <c r="AC106" s="27"/>
      <c r="AD106" s="15" t="s">
        <v>26</v>
      </c>
      <c r="AE106" s="16">
        <v>0.78466000000000002</v>
      </c>
      <c r="AF106" s="17">
        <v>1.1629100000000001</v>
      </c>
      <c r="AG106" s="9"/>
      <c r="AH106" s="9"/>
      <c r="AI106" s="9" t="s">
        <v>26</v>
      </c>
      <c r="AJ106" s="9"/>
      <c r="AK106" s="22">
        <v>15.731199999999999</v>
      </c>
      <c r="AL106" s="25">
        <v>6.4371999999999998</v>
      </c>
      <c r="AM106" s="9"/>
      <c r="AN106" s="9" t="s">
        <v>26</v>
      </c>
      <c r="AO106" s="22">
        <v>2.2332999999999998</v>
      </c>
      <c r="AP106" s="22">
        <v>2.7429199999999998</v>
      </c>
      <c r="AQ106" s="25">
        <v>7.1516000000000002</v>
      </c>
      <c r="AR106" s="9"/>
      <c r="AS106" s="9" t="s">
        <v>26</v>
      </c>
      <c r="AT106" s="22">
        <v>1.5844</v>
      </c>
      <c r="AU106" s="22">
        <v>2.3250799999999998</v>
      </c>
      <c r="AV106" s="25">
        <v>0.58640000000000003</v>
      </c>
      <c r="AW106" s="9"/>
      <c r="AX106" s="9" t="s">
        <v>26</v>
      </c>
      <c r="AY106" s="22">
        <v>3.452</v>
      </c>
      <c r="AZ106" s="22">
        <v>15.191700000000001</v>
      </c>
      <c r="BA106" s="25">
        <v>1.2343999999999999</v>
      </c>
      <c r="BB106" s="9"/>
      <c r="BC106" s="9" t="s">
        <v>26</v>
      </c>
      <c r="BD106" s="22">
        <v>0.91083999999999998</v>
      </c>
      <c r="BE106" s="22">
        <v>0.857796</v>
      </c>
      <c r="BF106" s="25">
        <v>18.573</v>
      </c>
      <c r="BG106" s="9"/>
      <c r="BH106" s="9" t="s">
        <v>26</v>
      </c>
      <c r="BI106" s="22">
        <v>5.8471000000000002</v>
      </c>
      <c r="BJ106" s="23">
        <v>18.7714</v>
      </c>
    </row>
    <row r="107" spans="1:62" ht="15" thickBot="1" x14ac:dyDescent="0.4">
      <c r="A107" s="13" t="s">
        <v>66</v>
      </c>
      <c r="B107" s="13"/>
      <c r="C107" s="13" t="s">
        <v>58</v>
      </c>
      <c r="D107" s="13" t="s">
        <v>65</v>
      </c>
      <c r="E107" s="13">
        <v>6.8934999999999996E-2</v>
      </c>
      <c r="F107" s="21">
        <v>44833</v>
      </c>
      <c r="G107" s="35">
        <v>1.216238425925926</v>
      </c>
      <c r="H107" s="38">
        <v>58.381999999999998</v>
      </c>
      <c r="I107" s="37"/>
      <c r="J107" s="37" t="s">
        <v>26</v>
      </c>
      <c r="K107" s="36">
        <v>4.1327999999999996</v>
      </c>
      <c r="L107" s="36">
        <v>7.07653</v>
      </c>
      <c r="M107" s="35"/>
      <c r="N107" s="37"/>
      <c r="O107" s="37" t="s">
        <v>26</v>
      </c>
      <c r="P107" s="37"/>
      <c r="Q107" s="36">
        <v>20.558</v>
      </c>
      <c r="R107" s="35"/>
      <c r="S107" s="37"/>
      <c r="T107" s="37" t="s">
        <v>26</v>
      </c>
      <c r="U107" s="37"/>
      <c r="V107" s="36">
        <v>1.00556</v>
      </c>
      <c r="W107" s="38">
        <v>4.4092000000000002</v>
      </c>
      <c r="X107" s="37"/>
      <c r="Y107" s="37" t="s">
        <v>26</v>
      </c>
      <c r="Z107" s="36">
        <v>2.2244999999999999</v>
      </c>
      <c r="AA107" s="36">
        <v>2.1707700000000001</v>
      </c>
      <c r="AB107" s="38">
        <v>2.7458999999999998</v>
      </c>
      <c r="AC107" s="37"/>
      <c r="AD107" s="37" t="s">
        <v>26</v>
      </c>
      <c r="AE107" s="36">
        <v>0.58265</v>
      </c>
      <c r="AF107" s="36">
        <v>0.93904200000000004</v>
      </c>
      <c r="AG107" s="13"/>
      <c r="AH107" s="9"/>
      <c r="AI107" s="9" t="s">
        <v>26</v>
      </c>
      <c r="AJ107" s="9"/>
      <c r="AK107" s="22">
        <v>12.518700000000001</v>
      </c>
      <c r="AL107" s="25">
        <v>5.4208999999999996</v>
      </c>
      <c r="AM107" s="9"/>
      <c r="AN107" s="9" t="s">
        <v>26</v>
      </c>
      <c r="AO107" s="22">
        <v>0.53047</v>
      </c>
      <c r="AP107" s="22">
        <v>2.05775</v>
      </c>
      <c r="AQ107" s="25">
        <v>6.2499000000000002</v>
      </c>
      <c r="AR107" s="9"/>
      <c r="AS107" s="9" t="s">
        <v>26</v>
      </c>
      <c r="AT107" s="22">
        <v>1.1820999999999999</v>
      </c>
      <c r="AU107" s="22">
        <v>1.92967</v>
      </c>
      <c r="AV107" s="25">
        <v>4.319</v>
      </c>
      <c r="AW107" s="9"/>
      <c r="AX107" s="9" t="s">
        <v>26</v>
      </c>
      <c r="AY107" s="22">
        <v>3.3791000000000002</v>
      </c>
      <c r="AZ107" s="22">
        <v>12.255599999999999</v>
      </c>
      <c r="BA107" s="25">
        <v>1.1718</v>
      </c>
      <c r="BB107" s="9"/>
      <c r="BC107" s="9" t="s">
        <v>26</v>
      </c>
      <c r="BD107" s="22">
        <v>0.17551</v>
      </c>
      <c r="BE107" s="22">
        <v>0.77154400000000001</v>
      </c>
      <c r="BF107" s="25">
        <v>16.167999999999999</v>
      </c>
      <c r="BG107" s="9"/>
      <c r="BH107" s="9" t="s">
        <v>26</v>
      </c>
      <c r="BI107" s="22">
        <v>2.3224</v>
      </c>
      <c r="BJ107" s="23">
        <v>13.6685</v>
      </c>
    </row>
    <row r="108" spans="1:62" ht="15" thickBot="1" x14ac:dyDescent="0.4">
      <c r="A108" s="13" t="s">
        <v>67</v>
      </c>
      <c r="B108" s="13"/>
      <c r="C108" s="13" t="s">
        <v>58</v>
      </c>
      <c r="D108" s="13" t="s">
        <v>65</v>
      </c>
      <c r="E108" s="13">
        <v>7.0226999999999998E-2</v>
      </c>
      <c r="F108" s="21">
        <v>44834</v>
      </c>
      <c r="G108" s="30">
        <v>3.7002314814814814</v>
      </c>
      <c r="H108" s="22">
        <v>63.537999999999997</v>
      </c>
      <c r="I108" s="9"/>
      <c r="J108" s="13" t="s">
        <v>26</v>
      </c>
      <c r="K108" s="23">
        <v>3.6680000000000001</v>
      </c>
      <c r="L108" s="22">
        <v>4.5576299999999996</v>
      </c>
      <c r="M108" s="25">
        <v>24.802</v>
      </c>
      <c r="N108" s="12"/>
      <c r="O108" s="9" t="s">
        <v>26</v>
      </c>
      <c r="P108" s="25">
        <v>2.363</v>
      </c>
      <c r="Q108" s="23">
        <v>11.978199999999999</v>
      </c>
      <c r="R108" s="9"/>
      <c r="S108" s="13"/>
      <c r="T108" s="12" t="s">
        <v>26</v>
      </c>
      <c r="U108" s="9"/>
      <c r="V108" s="46">
        <v>0.56573799999999996</v>
      </c>
      <c r="W108" s="23">
        <v>3.5282</v>
      </c>
      <c r="X108" s="9"/>
      <c r="Y108" s="13" t="s">
        <v>26</v>
      </c>
      <c r="Z108" s="23">
        <v>0.36015000000000003</v>
      </c>
      <c r="AA108" s="22">
        <v>1.5677700000000001</v>
      </c>
      <c r="AB108" s="25">
        <v>3.6301000000000001</v>
      </c>
      <c r="AC108" s="12"/>
      <c r="AD108" s="9" t="s">
        <v>26</v>
      </c>
      <c r="AE108" s="22">
        <v>0.16247</v>
      </c>
      <c r="AF108" s="23">
        <v>0.54627899999999996</v>
      </c>
      <c r="AG108" s="9"/>
      <c r="AH108" s="9"/>
      <c r="AI108" s="9" t="s">
        <v>26</v>
      </c>
      <c r="AJ108" s="9"/>
      <c r="AK108" s="22">
        <v>7.1006499999999999</v>
      </c>
      <c r="AL108" s="25">
        <v>7.3734000000000002</v>
      </c>
      <c r="AM108" s="9"/>
      <c r="AN108" s="9" t="s">
        <v>26</v>
      </c>
      <c r="AO108" s="22">
        <v>0.35976999999999998</v>
      </c>
      <c r="AP108" s="22">
        <v>1.3263199999999999</v>
      </c>
      <c r="AQ108" s="25">
        <v>6.8661000000000003</v>
      </c>
      <c r="AR108" s="9"/>
      <c r="AS108" s="9" t="s">
        <v>26</v>
      </c>
      <c r="AT108" s="22">
        <v>0.33522999999999997</v>
      </c>
      <c r="AU108" s="22">
        <v>1.20374</v>
      </c>
      <c r="AV108" s="25">
        <v>8.5704999999999991</v>
      </c>
      <c r="AW108" s="9"/>
      <c r="AX108" s="9" t="s">
        <v>26</v>
      </c>
      <c r="AY108" s="22">
        <v>4.0267999999999997</v>
      </c>
      <c r="AZ108" s="22">
        <v>10.1319</v>
      </c>
      <c r="BA108" s="25">
        <v>0.99961</v>
      </c>
      <c r="BB108" s="9"/>
      <c r="BC108" s="9" t="s">
        <v>26</v>
      </c>
      <c r="BD108" s="22">
        <v>0.10747</v>
      </c>
      <c r="BE108" s="22">
        <v>0.505633</v>
      </c>
      <c r="BF108" s="25">
        <v>15.105</v>
      </c>
      <c r="BG108" s="9"/>
      <c r="BH108" s="9" t="s">
        <v>26</v>
      </c>
      <c r="BI108" s="22">
        <v>4.4234999999999998</v>
      </c>
      <c r="BJ108" s="23">
        <v>6.7784199999999997</v>
      </c>
    </row>
    <row r="109" spans="1:62" ht="15" thickBot="1" x14ac:dyDescent="0.4">
      <c r="A109" s="13" t="s">
        <v>68</v>
      </c>
      <c r="B109" s="13"/>
      <c r="C109" s="13" t="s">
        <v>58</v>
      </c>
      <c r="D109" s="13" t="s">
        <v>65</v>
      </c>
      <c r="E109" s="13">
        <v>6.9192000000000004E-2</v>
      </c>
      <c r="F109" s="21">
        <v>44838</v>
      </c>
      <c r="G109" s="30">
        <v>1.0898726851851852</v>
      </c>
      <c r="H109" s="22">
        <v>49.697000000000003</v>
      </c>
      <c r="I109" s="9"/>
      <c r="J109" s="13" t="s">
        <v>26</v>
      </c>
      <c r="K109" s="23">
        <v>3.7465000000000002</v>
      </c>
      <c r="L109" s="22">
        <v>7.5113500000000002</v>
      </c>
      <c r="M109" s="25">
        <v>39.767000000000003</v>
      </c>
      <c r="N109" s="12"/>
      <c r="O109" s="9" t="s">
        <v>26</v>
      </c>
      <c r="P109" s="25">
        <v>13.430999999999999</v>
      </c>
      <c r="Q109" s="23">
        <v>21.670400000000001</v>
      </c>
      <c r="R109" s="9"/>
      <c r="S109" s="13"/>
      <c r="T109" s="12" t="s">
        <v>26</v>
      </c>
      <c r="U109" s="9"/>
      <c r="V109" s="46">
        <v>1.0935600000000001</v>
      </c>
      <c r="W109" s="23">
        <v>3.6783000000000001</v>
      </c>
      <c r="X109" s="9"/>
      <c r="Y109" s="13" t="s">
        <v>26</v>
      </c>
      <c r="Z109" s="23">
        <v>3.5691999999999999</v>
      </c>
      <c r="AA109" s="22">
        <v>2.6198000000000001</v>
      </c>
      <c r="AB109" s="25">
        <v>3.2183999999999999</v>
      </c>
      <c r="AC109" s="12"/>
      <c r="AD109" s="9" t="s">
        <v>26</v>
      </c>
      <c r="AE109" s="22">
        <v>0.67647000000000002</v>
      </c>
      <c r="AF109" s="23">
        <v>1.0026200000000001</v>
      </c>
      <c r="AG109" s="9"/>
      <c r="AH109" s="9"/>
      <c r="AI109" s="9" t="s">
        <v>26</v>
      </c>
      <c r="AJ109" s="9"/>
      <c r="AK109" s="22">
        <v>13.1288</v>
      </c>
      <c r="AL109" s="25">
        <v>6.2276999999999996</v>
      </c>
      <c r="AM109" s="9"/>
      <c r="AN109" s="9" t="s">
        <v>26</v>
      </c>
      <c r="AO109" s="22">
        <v>0.56567999999999996</v>
      </c>
      <c r="AP109" s="22">
        <v>2.18798</v>
      </c>
      <c r="AQ109" s="25">
        <v>5.8380999999999998</v>
      </c>
      <c r="AR109" s="9"/>
      <c r="AS109" s="9" t="s">
        <v>26</v>
      </c>
      <c r="AT109" s="22">
        <v>1.2186999999999999</v>
      </c>
      <c r="AU109" s="22">
        <v>2.0740599999999998</v>
      </c>
      <c r="AV109" s="25">
        <v>4.7930999999999999</v>
      </c>
      <c r="AW109" s="9"/>
      <c r="AX109" s="9" t="s">
        <v>26</v>
      </c>
      <c r="AY109" s="22">
        <v>4.2111000000000001</v>
      </c>
      <c r="AZ109" s="22">
        <v>12.6594</v>
      </c>
      <c r="BA109" s="25">
        <v>1.0755999999999999</v>
      </c>
      <c r="BB109" s="9"/>
      <c r="BC109" s="9" t="s">
        <v>26</v>
      </c>
      <c r="BD109" s="22">
        <v>0.67166999999999999</v>
      </c>
      <c r="BE109" s="22">
        <v>0.80606</v>
      </c>
      <c r="BF109" s="25">
        <v>9.2942</v>
      </c>
      <c r="BG109" s="9"/>
      <c r="BH109" s="9" t="s">
        <v>26</v>
      </c>
      <c r="BI109" s="22">
        <v>7.3643999999999998</v>
      </c>
      <c r="BJ109" s="23">
        <v>17.393799999999999</v>
      </c>
    </row>
    <row r="110" spans="1:62" ht="15" thickBot="1" x14ac:dyDescent="0.4">
      <c r="A110" s="13" t="s">
        <v>69</v>
      </c>
      <c r="B110" s="13"/>
      <c r="C110" s="13" t="s">
        <v>58</v>
      </c>
      <c r="D110" s="13" t="s">
        <v>65</v>
      </c>
      <c r="E110" s="13">
        <v>6.3735E-2</v>
      </c>
      <c r="F110" s="21">
        <v>44839</v>
      </c>
      <c r="G110" s="31">
        <v>0.98371527777777779</v>
      </c>
      <c r="H110" s="18">
        <v>77.028000000000006</v>
      </c>
      <c r="I110" s="10"/>
      <c r="J110" s="11" t="s">
        <v>26</v>
      </c>
      <c r="K110" s="19">
        <v>5.3418000000000001</v>
      </c>
      <c r="L110" s="18">
        <v>8.3684200000000004</v>
      </c>
      <c r="M110" s="26">
        <v>34.469000000000001</v>
      </c>
      <c r="N110" s="24"/>
      <c r="O110" s="10" t="s">
        <v>26</v>
      </c>
      <c r="P110" s="26">
        <v>4.5662000000000003</v>
      </c>
      <c r="Q110" s="19">
        <v>21.954000000000001</v>
      </c>
      <c r="R110" s="10"/>
      <c r="S110" s="11"/>
      <c r="T110" s="24" t="s">
        <v>26</v>
      </c>
      <c r="U110" s="10"/>
      <c r="V110" s="45">
        <v>1.15882</v>
      </c>
      <c r="W110" s="19">
        <v>1.4922</v>
      </c>
      <c r="X110" s="10"/>
      <c r="Y110" s="11" t="s">
        <v>26</v>
      </c>
      <c r="Z110" s="19">
        <v>0.71882999999999997</v>
      </c>
      <c r="AA110" s="18">
        <v>2.6631499999999999</v>
      </c>
      <c r="AB110" s="26">
        <v>3.4538000000000002</v>
      </c>
      <c r="AC110" s="24"/>
      <c r="AD110" s="10" t="s">
        <v>26</v>
      </c>
      <c r="AE110" s="18">
        <v>0.75348000000000004</v>
      </c>
      <c r="AF110" s="19">
        <v>1.10103</v>
      </c>
      <c r="AG110" s="9"/>
      <c r="AH110" s="9"/>
      <c r="AI110" s="9" t="s">
        <v>26</v>
      </c>
      <c r="AJ110" s="9"/>
      <c r="AK110" s="22">
        <v>14.778499999999999</v>
      </c>
      <c r="AL110" s="25">
        <v>6.92</v>
      </c>
      <c r="AM110" s="9"/>
      <c r="AN110" s="9" t="s">
        <v>26</v>
      </c>
      <c r="AO110" s="22">
        <v>0.62929999999999997</v>
      </c>
      <c r="AP110" s="22">
        <v>2.4043899999999998</v>
      </c>
      <c r="AQ110" s="25">
        <v>6.5663</v>
      </c>
      <c r="AR110" s="9"/>
      <c r="AS110" s="9" t="s">
        <v>26</v>
      </c>
      <c r="AT110" s="22">
        <v>1.3581000000000001</v>
      </c>
      <c r="AU110" s="22">
        <v>2.2656000000000001</v>
      </c>
      <c r="AV110" s="25">
        <v>0.94055999999999995</v>
      </c>
      <c r="AW110" s="9"/>
      <c r="AX110" s="9" t="s">
        <v>26</v>
      </c>
      <c r="AY110" s="22">
        <v>3.8597999999999999</v>
      </c>
      <c r="AZ110" s="22">
        <v>13.3888</v>
      </c>
      <c r="BA110" s="25">
        <v>1.0589999999999999</v>
      </c>
      <c r="BB110" s="9"/>
      <c r="BC110" s="9" t="s">
        <v>26</v>
      </c>
      <c r="BD110" s="22">
        <v>0.19556000000000001</v>
      </c>
      <c r="BE110" s="22">
        <v>0.86727200000000004</v>
      </c>
      <c r="BF110" s="25">
        <v>14.101000000000001</v>
      </c>
      <c r="BG110" s="9"/>
      <c r="BH110" s="9" t="s">
        <v>26</v>
      </c>
      <c r="BI110" s="22">
        <v>2.6472000000000002</v>
      </c>
      <c r="BJ110" s="23">
        <v>11.441800000000001</v>
      </c>
    </row>
    <row r="111" spans="1:62" ht="15" thickBot="1" x14ac:dyDescent="0.4">
      <c r="A111" s="13" t="s">
        <v>70</v>
      </c>
      <c r="B111" s="13"/>
      <c r="C111" s="13" t="s">
        <v>58</v>
      </c>
      <c r="D111" s="13" t="s">
        <v>65</v>
      </c>
      <c r="E111" s="13">
        <v>6.9264000000000006E-2</v>
      </c>
      <c r="F111" s="21">
        <v>44840</v>
      </c>
      <c r="G111" s="42">
        <v>0.99351851851851858</v>
      </c>
      <c r="H111" s="16">
        <v>41.078000000000003</v>
      </c>
      <c r="I111" s="15"/>
      <c r="J111" s="14" t="s">
        <v>26</v>
      </c>
      <c r="K111" s="17">
        <v>3.4342999999999999</v>
      </c>
      <c r="L111" s="16">
        <v>7.0330000000000004</v>
      </c>
      <c r="M111" s="28">
        <v>46.271999999999998</v>
      </c>
      <c r="N111" s="27"/>
      <c r="O111" s="15" t="s">
        <v>26</v>
      </c>
      <c r="P111" s="28">
        <v>12.933999999999999</v>
      </c>
      <c r="Q111" s="17">
        <v>20.142700000000001</v>
      </c>
      <c r="R111" s="15"/>
      <c r="S111" s="14"/>
      <c r="T111" s="27" t="s">
        <v>26</v>
      </c>
      <c r="U111" s="15"/>
      <c r="V111" s="44">
        <v>1.07447</v>
      </c>
      <c r="W111" s="17">
        <v>1.413</v>
      </c>
      <c r="X111" s="15"/>
      <c r="Y111" s="14" t="s">
        <v>26</v>
      </c>
      <c r="Z111" s="17">
        <v>2.1122999999999998</v>
      </c>
      <c r="AA111" s="16">
        <v>2.3406400000000001</v>
      </c>
      <c r="AB111" s="28">
        <v>2.8656999999999999</v>
      </c>
      <c r="AC111" s="27"/>
      <c r="AD111" s="15" t="s">
        <v>26</v>
      </c>
      <c r="AE111" s="16">
        <v>0.66391</v>
      </c>
      <c r="AF111" s="17">
        <v>1.0464500000000001</v>
      </c>
      <c r="AG111" s="9"/>
      <c r="AH111" s="9"/>
      <c r="AI111" s="9" t="s">
        <v>26</v>
      </c>
      <c r="AJ111" s="9"/>
      <c r="AK111" s="22">
        <v>13.6959</v>
      </c>
      <c r="AL111" s="25">
        <v>6.8879000000000001</v>
      </c>
      <c r="AM111" s="9"/>
      <c r="AN111" s="9" t="s">
        <v>26</v>
      </c>
      <c r="AO111" s="22">
        <v>1.6279999999999999</v>
      </c>
      <c r="AP111" s="22">
        <v>2.2884500000000001</v>
      </c>
      <c r="AQ111" s="25">
        <v>7.4123999999999999</v>
      </c>
      <c r="AR111" s="9"/>
      <c r="AS111" s="9" t="s">
        <v>26</v>
      </c>
      <c r="AT111" s="22">
        <v>1.367</v>
      </c>
      <c r="AU111" s="22">
        <v>2.01363</v>
      </c>
      <c r="AV111" s="25">
        <v>2.1162000000000001</v>
      </c>
      <c r="AW111" s="9"/>
      <c r="AX111" s="9" t="s">
        <v>26</v>
      </c>
      <c r="AY111" s="22">
        <v>3.0596999999999999</v>
      </c>
      <c r="AZ111" s="22">
        <v>11.7338</v>
      </c>
      <c r="BA111" s="25">
        <v>0.89932000000000001</v>
      </c>
      <c r="BB111" s="9"/>
      <c r="BC111" s="9" t="s">
        <v>26</v>
      </c>
      <c r="BD111" s="22">
        <v>0.17416000000000001</v>
      </c>
      <c r="BE111" s="22">
        <v>0.79944499999999996</v>
      </c>
      <c r="BF111" s="25">
        <v>21.77</v>
      </c>
      <c r="BG111" s="9"/>
      <c r="BH111" s="9" t="s">
        <v>26</v>
      </c>
      <c r="BI111" s="22">
        <v>2.6581000000000001</v>
      </c>
      <c r="BJ111" s="23">
        <v>12.708399999999999</v>
      </c>
    </row>
    <row r="112" spans="1:62" ht="15" thickBot="1" x14ac:dyDescent="0.4">
      <c r="A112" s="13" t="s">
        <v>71</v>
      </c>
      <c r="B112" s="13"/>
      <c r="C112" s="13" t="s">
        <v>58</v>
      </c>
      <c r="D112" s="13" t="s">
        <v>65</v>
      </c>
      <c r="E112" s="13">
        <v>7.2252999999999998E-2</v>
      </c>
      <c r="F112" s="21">
        <v>44841</v>
      </c>
      <c r="G112" s="35">
        <v>2.7210416666666668</v>
      </c>
      <c r="H112" s="38">
        <v>46.152999999999999</v>
      </c>
      <c r="I112" s="37"/>
      <c r="J112" s="37" t="s">
        <v>26</v>
      </c>
      <c r="K112" s="36">
        <v>5.3693999999999997</v>
      </c>
      <c r="L112" s="36">
        <v>5.0071000000000003</v>
      </c>
      <c r="M112" s="38">
        <v>32.548000000000002</v>
      </c>
      <c r="N112" s="37"/>
      <c r="O112" s="37" t="s">
        <v>26</v>
      </c>
      <c r="P112" s="36">
        <v>6.7953999999999999</v>
      </c>
      <c r="Q112" s="36">
        <v>12.4628</v>
      </c>
      <c r="R112" s="35"/>
      <c r="S112" s="37"/>
      <c r="T112" s="37" t="s">
        <v>26</v>
      </c>
      <c r="U112" s="37"/>
      <c r="V112" s="36">
        <v>0.64530200000000004</v>
      </c>
      <c r="W112" s="38">
        <v>2.9359000000000002</v>
      </c>
      <c r="X112" s="37"/>
      <c r="Y112" s="37" t="s">
        <v>26</v>
      </c>
      <c r="Z112" s="36">
        <v>0.37563000000000002</v>
      </c>
      <c r="AA112" s="36">
        <v>1.60236</v>
      </c>
      <c r="AB112" s="38">
        <v>2.6311</v>
      </c>
      <c r="AC112" s="37"/>
      <c r="AD112" s="37" t="s">
        <v>26</v>
      </c>
      <c r="AE112" s="36">
        <v>0.38519999999999999</v>
      </c>
      <c r="AF112" s="36">
        <v>0.63561800000000002</v>
      </c>
      <c r="AG112" s="13"/>
      <c r="AH112" s="9"/>
      <c r="AI112" s="9" t="s">
        <v>26</v>
      </c>
      <c r="AJ112" s="9"/>
      <c r="AK112" s="22">
        <v>8.1966300000000007</v>
      </c>
      <c r="AL112" s="25">
        <v>7.7648999999999999</v>
      </c>
      <c r="AM112" s="9"/>
      <c r="AN112" s="9" t="s">
        <v>26</v>
      </c>
      <c r="AO112" s="22">
        <v>0.39683000000000002</v>
      </c>
      <c r="AP112" s="22">
        <v>1.4636499999999999</v>
      </c>
      <c r="AQ112" s="25">
        <v>7.4222000000000001</v>
      </c>
      <c r="AR112" s="9"/>
      <c r="AS112" s="9" t="s">
        <v>26</v>
      </c>
      <c r="AT112" s="22">
        <v>0.36576999999999998</v>
      </c>
      <c r="AU112" s="22">
        <v>1.2325900000000001</v>
      </c>
      <c r="AV112" s="25">
        <v>1.7743</v>
      </c>
      <c r="AW112" s="9"/>
      <c r="AX112" s="9" t="s">
        <v>26</v>
      </c>
      <c r="AY112" s="22">
        <v>4.218</v>
      </c>
      <c r="AZ112" s="22">
        <v>10.3706</v>
      </c>
      <c r="BA112" s="25">
        <v>1.0162</v>
      </c>
      <c r="BB112" s="9"/>
      <c r="BC112" s="9" t="s">
        <v>26</v>
      </c>
      <c r="BD112" s="22">
        <v>0.38147999999999999</v>
      </c>
      <c r="BE112" s="22">
        <v>0.52385700000000002</v>
      </c>
      <c r="BF112" s="25">
        <v>18.998999999999999</v>
      </c>
      <c r="BG112" s="9"/>
      <c r="BH112" s="9" t="s">
        <v>26</v>
      </c>
      <c r="BI112" s="22">
        <v>5.1551</v>
      </c>
      <c r="BJ112" s="23">
        <v>8.6456099999999996</v>
      </c>
    </row>
    <row r="113" spans="1:62" ht="15" thickBot="1" x14ac:dyDescent="0.4">
      <c r="A113" s="13" t="s">
        <v>72</v>
      </c>
      <c r="B113" s="13"/>
      <c r="C113" s="13" t="s">
        <v>58</v>
      </c>
      <c r="D113" s="13" t="s">
        <v>65</v>
      </c>
      <c r="E113" s="13">
        <v>6.8331000000000003E-2</v>
      </c>
      <c r="F113" s="21">
        <v>44844</v>
      </c>
      <c r="G113" s="13">
        <v>1.0091087962962961</v>
      </c>
      <c r="H113" s="25">
        <v>48.984000000000002</v>
      </c>
      <c r="I113" s="9"/>
      <c r="J113" s="9" t="s">
        <v>26</v>
      </c>
      <c r="K113" s="22">
        <v>3.7761999999999998</v>
      </c>
      <c r="L113" s="22">
        <v>7.2905600000000002</v>
      </c>
      <c r="M113" s="25">
        <v>29.856000000000002</v>
      </c>
      <c r="N113" s="9"/>
      <c r="O113" s="9" t="s">
        <v>26</v>
      </c>
      <c r="P113" s="22">
        <v>4.0644999999999998</v>
      </c>
      <c r="Q113" s="22">
        <v>20.686499999999999</v>
      </c>
      <c r="R113" s="13"/>
      <c r="S113" s="9"/>
      <c r="T113" s="9" t="s">
        <v>26</v>
      </c>
      <c r="U113" s="9"/>
      <c r="V113" s="22">
        <v>1.1295299999999999</v>
      </c>
      <c r="W113" s="25">
        <v>3.4721000000000002</v>
      </c>
      <c r="X113" s="9"/>
      <c r="Y113" s="9" t="s">
        <v>26</v>
      </c>
      <c r="Z113" s="22">
        <v>0.60711999999999999</v>
      </c>
      <c r="AA113" s="22">
        <v>3.5539000000000001</v>
      </c>
      <c r="AB113" s="25">
        <v>2.8730000000000002</v>
      </c>
      <c r="AC113" s="9"/>
      <c r="AD113" s="9" t="s">
        <v>26</v>
      </c>
      <c r="AE113" s="22">
        <v>0.65015000000000001</v>
      </c>
      <c r="AF113" s="22">
        <v>0.99776500000000001</v>
      </c>
      <c r="AG113" s="13"/>
      <c r="AH113" s="9"/>
      <c r="AI113" s="9" t="s">
        <v>26</v>
      </c>
      <c r="AJ113" s="9"/>
      <c r="AK113" s="22">
        <v>13.916</v>
      </c>
      <c r="AL113" s="25">
        <v>7.3922999999999996</v>
      </c>
      <c r="AM113" s="9"/>
      <c r="AN113" s="9" t="s">
        <v>26</v>
      </c>
      <c r="AO113" s="22">
        <v>0.61387999999999998</v>
      </c>
      <c r="AP113" s="22">
        <v>2.2206299999999999</v>
      </c>
      <c r="AQ113" s="25">
        <v>8.3338000000000001</v>
      </c>
      <c r="AR113" s="9"/>
      <c r="AS113" s="9" t="s">
        <v>26</v>
      </c>
      <c r="AT113" s="22">
        <v>1.4004000000000001</v>
      </c>
      <c r="AU113" s="22">
        <v>2.0590099999999998</v>
      </c>
      <c r="AV113" s="25">
        <v>2.0306000000000002</v>
      </c>
      <c r="AW113" s="9"/>
      <c r="AX113" s="9" t="s">
        <v>26</v>
      </c>
      <c r="AY113" s="22">
        <v>3.2829000000000002</v>
      </c>
      <c r="AZ113" s="22">
        <v>12.178699999999999</v>
      </c>
      <c r="BA113" s="25">
        <v>0.80078000000000005</v>
      </c>
      <c r="BB113" s="9"/>
      <c r="BC113" s="9" t="s">
        <v>26</v>
      </c>
      <c r="BD113" s="22">
        <v>0.17943000000000001</v>
      </c>
      <c r="BE113" s="22">
        <v>0.77526300000000004</v>
      </c>
      <c r="BF113" s="25">
        <v>13.574999999999999</v>
      </c>
      <c r="BG113" s="9"/>
      <c r="BH113" s="9" t="s">
        <v>26</v>
      </c>
      <c r="BI113" s="22">
        <v>2.5379999999999998</v>
      </c>
      <c r="BJ113" s="23">
        <v>19.9391</v>
      </c>
    </row>
    <row r="114" spans="1:62" ht="15" thickBot="1" x14ac:dyDescent="0.4">
      <c r="A114" s="13" t="s">
        <v>73</v>
      </c>
      <c r="B114" s="13"/>
      <c r="C114" s="13" t="s">
        <v>58</v>
      </c>
      <c r="D114" s="13" t="s">
        <v>65</v>
      </c>
      <c r="E114" s="13">
        <v>6.7934999999999995E-2</v>
      </c>
      <c r="F114" s="21">
        <v>44846</v>
      </c>
      <c r="G114" s="13">
        <v>1.0015162037037038</v>
      </c>
      <c r="H114" s="25">
        <v>51.234999999999999</v>
      </c>
      <c r="I114" s="9"/>
      <c r="J114" s="9" t="s">
        <v>26</v>
      </c>
      <c r="K114" s="22">
        <v>3.964</v>
      </c>
      <c r="L114" s="22">
        <v>7.8381699999999999</v>
      </c>
      <c r="M114" s="25">
        <v>31.779</v>
      </c>
      <c r="N114" s="9"/>
      <c r="O114" s="9" t="s">
        <v>26</v>
      </c>
      <c r="P114" s="22">
        <v>4.1230000000000002</v>
      </c>
      <c r="Q114" s="22">
        <v>17.978300000000001</v>
      </c>
      <c r="R114" s="13"/>
      <c r="S114" s="9"/>
      <c r="T114" s="9" t="s">
        <v>26</v>
      </c>
      <c r="U114" s="9"/>
      <c r="V114" s="22">
        <v>1.1591499999999999</v>
      </c>
      <c r="W114" s="25">
        <v>2.2387999999999999</v>
      </c>
      <c r="X114" s="9"/>
      <c r="Y114" s="9" t="s">
        <v>26</v>
      </c>
      <c r="Z114" s="22">
        <v>0.24204000000000001</v>
      </c>
      <c r="AA114" s="22">
        <v>2.4523600000000001</v>
      </c>
      <c r="AB114" s="25">
        <v>2.9121999999999999</v>
      </c>
      <c r="AC114" s="9"/>
      <c r="AD114" s="9" t="s">
        <v>26</v>
      </c>
      <c r="AE114" s="22">
        <v>0.73746</v>
      </c>
      <c r="AF114" s="22">
        <v>0.99209700000000001</v>
      </c>
      <c r="AG114" s="13"/>
      <c r="AH114" s="9"/>
      <c r="AI114" s="9" t="s">
        <v>26</v>
      </c>
      <c r="AJ114" s="9"/>
      <c r="AK114" s="22">
        <v>14.410299999999999</v>
      </c>
      <c r="AL114" s="25">
        <v>7.4099000000000004</v>
      </c>
      <c r="AM114" s="9"/>
      <c r="AN114" s="9" t="s">
        <v>26</v>
      </c>
      <c r="AO114" s="22">
        <v>1.716</v>
      </c>
      <c r="AP114" s="22">
        <v>2.5105200000000001</v>
      </c>
      <c r="AQ114" s="25">
        <v>5.1569000000000003</v>
      </c>
      <c r="AR114" s="9"/>
      <c r="AS114" s="9" t="s">
        <v>26</v>
      </c>
      <c r="AT114" s="22">
        <v>0.52442</v>
      </c>
      <c r="AU114" s="22">
        <v>1.9502699999999999</v>
      </c>
      <c r="AV114" s="25">
        <v>17.553000000000001</v>
      </c>
      <c r="AW114" s="9"/>
      <c r="AX114" s="9" t="s">
        <v>26</v>
      </c>
      <c r="AY114" s="22">
        <v>8.1378000000000004</v>
      </c>
      <c r="AZ114" s="22">
        <v>13.9833</v>
      </c>
      <c r="BA114" s="25">
        <v>0.93718000000000001</v>
      </c>
      <c r="BB114" s="9"/>
      <c r="BC114" s="9" t="s">
        <v>26</v>
      </c>
      <c r="BD114" s="22">
        <v>0.182</v>
      </c>
      <c r="BE114" s="22">
        <v>0.77285899999999996</v>
      </c>
      <c r="BF114" s="13"/>
      <c r="BG114" s="9"/>
      <c r="BH114" s="9" t="s">
        <v>26</v>
      </c>
      <c r="BI114" s="9"/>
      <c r="BJ114" s="23">
        <v>15.844099999999999</v>
      </c>
    </row>
    <row r="115" spans="1:62" ht="15" thickBot="1" x14ac:dyDescent="0.4">
      <c r="A115" s="13" t="s">
        <v>138</v>
      </c>
      <c r="B115" s="13"/>
      <c r="C115" s="13" t="s">
        <v>58</v>
      </c>
      <c r="D115" s="13" t="s">
        <v>65</v>
      </c>
      <c r="E115" s="13">
        <v>6.9275000000000003E-2</v>
      </c>
      <c r="F115" s="21">
        <v>44847</v>
      </c>
      <c r="G115" s="13">
        <v>0.99291666666666656</v>
      </c>
      <c r="H115" s="25">
        <v>45.600999999999999</v>
      </c>
      <c r="I115" s="9"/>
      <c r="J115" s="9" t="s">
        <v>26</v>
      </c>
      <c r="K115" s="22">
        <v>3.6461000000000001</v>
      </c>
      <c r="L115" s="22">
        <v>8.2850599999999996</v>
      </c>
      <c r="M115" s="25">
        <v>24.324999999999999</v>
      </c>
      <c r="N115" s="9"/>
      <c r="O115" s="9" t="s">
        <v>26</v>
      </c>
      <c r="P115" s="22">
        <v>5.8566000000000003</v>
      </c>
      <c r="Q115" s="22">
        <v>17.954999999999998</v>
      </c>
      <c r="R115" s="13"/>
      <c r="S115" s="9"/>
      <c r="T115" s="9" t="s">
        <v>26</v>
      </c>
      <c r="U115" s="9"/>
      <c r="V115" s="22">
        <v>1.11785</v>
      </c>
      <c r="W115" s="25">
        <v>2.9129999999999998</v>
      </c>
      <c r="X115" s="9"/>
      <c r="Y115" s="9" t="s">
        <v>26</v>
      </c>
      <c r="Z115" s="22">
        <v>2.0699999999999998</v>
      </c>
      <c r="AA115" s="22">
        <v>2.06901</v>
      </c>
      <c r="AB115" s="25">
        <v>2.7667000000000002</v>
      </c>
      <c r="AC115" s="9"/>
      <c r="AD115" s="9" t="s">
        <v>26</v>
      </c>
      <c r="AE115" s="22">
        <v>0.65819000000000005</v>
      </c>
      <c r="AF115" s="22">
        <v>1.0516799999999999</v>
      </c>
      <c r="AG115" s="13"/>
      <c r="AH115" s="9"/>
      <c r="AI115" s="9" t="s">
        <v>26</v>
      </c>
      <c r="AJ115" s="9"/>
      <c r="AK115" s="22">
        <v>13.4068</v>
      </c>
      <c r="AL115" s="25">
        <v>5.4640000000000004</v>
      </c>
      <c r="AM115" s="9"/>
      <c r="AN115" s="9" t="s">
        <v>26</v>
      </c>
      <c r="AO115" s="22">
        <v>0.58118000000000003</v>
      </c>
      <c r="AP115" s="22">
        <v>2.35229</v>
      </c>
      <c r="AQ115" s="25">
        <v>5.3879999999999999</v>
      </c>
      <c r="AR115" s="9"/>
      <c r="AS115" s="9" t="s">
        <v>26</v>
      </c>
      <c r="AT115" s="22">
        <v>1.4823</v>
      </c>
      <c r="AU115" s="22">
        <v>2.0179900000000002</v>
      </c>
      <c r="AV115" s="25">
        <v>1.212</v>
      </c>
      <c r="AW115" s="9"/>
      <c r="AX115" s="9" t="s">
        <v>26</v>
      </c>
      <c r="AY115" s="22">
        <v>3.153</v>
      </c>
      <c r="AZ115" s="22">
        <v>12.198</v>
      </c>
      <c r="BA115" s="25">
        <v>1.0922000000000001</v>
      </c>
      <c r="BB115" s="9"/>
      <c r="BC115" s="9" t="s">
        <v>26</v>
      </c>
      <c r="BD115" s="22">
        <v>0.18351999999999999</v>
      </c>
      <c r="BE115" s="22">
        <v>0.77957399999999999</v>
      </c>
      <c r="BF115" s="25">
        <v>12.224</v>
      </c>
      <c r="BG115" s="9"/>
      <c r="BH115" s="9" t="s">
        <v>26</v>
      </c>
      <c r="BI115" s="22">
        <v>2.4148000000000001</v>
      </c>
      <c r="BJ115" s="23">
        <v>12.418900000000001</v>
      </c>
    </row>
    <row r="116" spans="1:62" ht="15" thickBot="1" x14ac:dyDescent="0.4">
      <c r="A116" s="13" t="s">
        <v>74</v>
      </c>
      <c r="B116" s="13"/>
      <c r="C116" s="13" t="s">
        <v>58</v>
      </c>
      <c r="D116" s="13" t="s">
        <v>65</v>
      </c>
      <c r="E116" s="13">
        <v>7.3278999999999997E-2</v>
      </c>
      <c r="F116" s="21">
        <v>44845</v>
      </c>
      <c r="G116" s="13">
        <v>1.1418981481481481</v>
      </c>
      <c r="H116" s="25">
        <v>42.406999999999996</v>
      </c>
      <c r="I116" s="9"/>
      <c r="J116" s="9" t="s">
        <v>26</v>
      </c>
      <c r="K116" s="22">
        <v>3.2869999999999999</v>
      </c>
      <c r="L116" s="22">
        <v>7.0522099999999996</v>
      </c>
      <c r="M116" s="25">
        <v>29.344000000000001</v>
      </c>
      <c r="N116" s="9"/>
      <c r="O116" s="9" t="s">
        <v>26</v>
      </c>
      <c r="P116" s="22">
        <v>10.305</v>
      </c>
      <c r="Q116" s="22">
        <v>20.848500000000001</v>
      </c>
      <c r="R116" s="13"/>
      <c r="S116" s="9"/>
      <c r="T116" s="9" t="s">
        <v>26</v>
      </c>
      <c r="U116" s="9"/>
      <c r="V116" s="22">
        <v>0.96804999999999997</v>
      </c>
      <c r="W116" s="25">
        <v>3.8879999999999999</v>
      </c>
      <c r="X116" s="9"/>
      <c r="Y116" s="9" t="s">
        <v>26</v>
      </c>
      <c r="Z116" s="22">
        <v>2.3199000000000001</v>
      </c>
      <c r="AA116" s="22">
        <v>2.2822100000000001</v>
      </c>
      <c r="AB116" s="25">
        <v>2.6589999999999998</v>
      </c>
      <c r="AC116" s="9"/>
      <c r="AD116" s="9" t="s">
        <v>26</v>
      </c>
      <c r="AE116" s="22">
        <v>0.60489000000000004</v>
      </c>
      <c r="AF116" s="22">
        <v>0.88626400000000005</v>
      </c>
      <c r="AG116" s="13"/>
      <c r="AH116" s="9"/>
      <c r="AI116" s="9" t="s">
        <v>26</v>
      </c>
      <c r="AJ116" s="9"/>
      <c r="AK116" s="22">
        <v>12.373200000000001</v>
      </c>
      <c r="AL116" s="25">
        <v>6.7721999999999998</v>
      </c>
      <c r="AM116" s="9"/>
      <c r="AN116" s="9" t="s">
        <v>26</v>
      </c>
      <c r="AO116" s="22">
        <v>1.4386000000000001</v>
      </c>
      <c r="AP116" s="22">
        <v>1.97302</v>
      </c>
      <c r="AQ116" s="25">
        <v>5.0122</v>
      </c>
      <c r="AR116" s="9"/>
      <c r="AS116" s="9" t="s">
        <v>26</v>
      </c>
      <c r="AT116" s="22">
        <v>0.46100999999999998</v>
      </c>
      <c r="AU116" s="22">
        <v>1.7679199999999999</v>
      </c>
      <c r="AV116" s="25">
        <v>5.4949000000000003</v>
      </c>
      <c r="AW116" s="9"/>
      <c r="AX116" s="9" t="s">
        <v>26</v>
      </c>
      <c r="AY116" s="22">
        <v>16.248000000000001</v>
      </c>
      <c r="AZ116" s="22">
        <v>12.4939</v>
      </c>
      <c r="BA116" s="25">
        <v>0.79696</v>
      </c>
      <c r="BB116" s="9"/>
      <c r="BC116" s="9" t="s">
        <v>26</v>
      </c>
      <c r="BD116" s="22">
        <v>0.62609999999999999</v>
      </c>
      <c r="BE116" s="22">
        <v>0.84211899999999995</v>
      </c>
      <c r="BF116" s="25">
        <v>15.143000000000001</v>
      </c>
      <c r="BG116" s="9"/>
      <c r="BH116" s="9" t="s">
        <v>26</v>
      </c>
      <c r="BI116" s="22">
        <v>5.3201999999999998</v>
      </c>
      <c r="BJ116" s="23">
        <v>11.7522</v>
      </c>
    </row>
    <row r="117" spans="1:62" ht="15" thickBot="1" x14ac:dyDescent="0.4">
      <c r="A117" s="13" t="s">
        <v>139</v>
      </c>
      <c r="B117" s="13"/>
      <c r="C117" s="13" t="s">
        <v>58</v>
      </c>
      <c r="D117" s="13" t="s">
        <v>65</v>
      </c>
      <c r="E117" s="13">
        <v>6.1870000000000001E-2</v>
      </c>
      <c r="F117" s="21">
        <v>44848</v>
      </c>
      <c r="G117" s="13">
        <v>2.729409722222222</v>
      </c>
      <c r="H117" s="25">
        <v>47.750999999999998</v>
      </c>
      <c r="I117" s="9"/>
      <c r="J117" s="9" t="s">
        <v>26</v>
      </c>
      <c r="K117" s="22">
        <v>6.2958999999999996</v>
      </c>
      <c r="L117" s="22">
        <v>5.3411600000000004</v>
      </c>
      <c r="M117" s="25">
        <v>48.344000000000001</v>
      </c>
      <c r="N117" s="9"/>
      <c r="O117" s="9" t="s">
        <v>26</v>
      </c>
      <c r="P117" s="22">
        <v>8.5873000000000008</v>
      </c>
      <c r="Q117" s="22">
        <v>14.2112</v>
      </c>
      <c r="R117" s="13"/>
      <c r="S117" s="9"/>
      <c r="T117" s="9" t="s">
        <v>26</v>
      </c>
      <c r="U117" s="9"/>
      <c r="V117" s="22">
        <v>0.72560599999999997</v>
      </c>
      <c r="W117" s="25">
        <v>1.7094</v>
      </c>
      <c r="X117" s="9"/>
      <c r="Y117" s="9" t="s">
        <v>26</v>
      </c>
      <c r="Z117" s="22">
        <v>1.6364000000000001</v>
      </c>
      <c r="AA117" s="22">
        <v>1.76237</v>
      </c>
      <c r="AB117" s="25">
        <v>2.5145</v>
      </c>
      <c r="AC117" s="9"/>
      <c r="AD117" s="9" t="s">
        <v>26</v>
      </c>
      <c r="AE117" s="22">
        <v>0.57789999999999997</v>
      </c>
      <c r="AF117" s="22">
        <v>0.71525399999999995</v>
      </c>
      <c r="AG117" s="25">
        <v>2.6779000000000002</v>
      </c>
      <c r="AH117" s="9"/>
      <c r="AI117" s="9" t="s">
        <v>26</v>
      </c>
      <c r="AJ117" s="22">
        <v>2.3693</v>
      </c>
      <c r="AK117" s="22">
        <v>4.7934900000000003</v>
      </c>
      <c r="AL117" s="25">
        <v>3.7751000000000001</v>
      </c>
      <c r="AM117" s="9"/>
      <c r="AN117" s="9" t="s">
        <v>26</v>
      </c>
      <c r="AO117" s="22">
        <v>0.40192</v>
      </c>
      <c r="AP117" s="22">
        <v>1.7001200000000001</v>
      </c>
      <c r="AQ117" s="25">
        <v>3.6613000000000002</v>
      </c>
      <c r="AR117" s="9"/>
      <c r="AS117" s="9" t="s">
        <v>26</v>
      </c>
      <c r="AT117" s="22">
        <v>0.85550000000000004</v>
      </c>
      <c r="AU117" s="22">
        <v>1.4193800000000001</v>
      </c>
      <c r="AV117" s="25">
        <v>0.14391999999999999</v>
      </c>
      <c r="AW117" s="9"/>
      <c r="AX117" s="9" t="s">
        <v>26</v>
      </c>
      <c r="AY117" s="22">
        <v>3.6158999999999999</v>
      </c>
      <c r="AZ117" s="22">
        <v>11.921900000000001</v>
      </c>
      <c r="BA117" s="25">
        <v>0.74090999999999996</v>
      </c>
      <c r="BB117" s="9"/>
      <c r="BC117" s="9" t="s">
        <v>26</v>
      </c>
      <c r="BD117" s="22">
        <v>0.12748000000000001</v>
      </c>
      <c r="BE117" s="22">
        <v>0.67129799999999995</v>
      </c>
      <c r="BF117" s="25">
        <v>15.724</v>
      </c>
      <c r="BG117" s="9"/>
      <c r="BH117" s="9" t="s">
        <v>26</v>
      </c>
      <c r="BI117" s="22">
        <v>1.7359</v>
      </c>
      <c r="BJ117" s="23">
        <v>9.5863399999999999</v>
      </c>
    </row>
    <row r="118" spans="1:62" ht="15" thickBot="1" x14ac:dyDescent="0.4">
      <c r="A118" s="13" t="s">
        <v>140</v>
      </c>
      <c r="B118" s="13"/>
      <c r="C118" s="13" t="s">
        <v>58</v>
      </c>
      <c r="D118" s="13" t="s">
        <v>65</v>
      </c>
      <c r="E118" s="13">
        <v>6.4284999999999995E-2</v>
      </c>
      <c r="F118" s="21">
        <v>44851</v>
      </c>
      <c r="G118" s="13">
        <v>1.0285648148148148</v>
      </c>
      <c r="H118" s="25">
        <v>31.306000000000001</v>
      </c>
      <c r="I118" s="9"/>
      <c r="J118" s="9" t="s">
        <v>26</v>
      </c>
      <c r="K118" s="22">
        <v>5.9168000000000003</v>
      </c>
      <c r="L118" s="22">
        <v>8.4546100000000006</v>
      </c>
      <c r="M118" s="25">
        <v>50.945</v>
      </c>
      <c r="N118" s="9"/>
      <c r="O118" s="9" t="s">
        <v>26</v>
      </c>
      <c r="P118" s="22">
        <v>13.878</v>
      </c>
      <c r="Q118" s="22">
        <v>21.8611</v>
      </c>
      <c r="R118" s="13"/>
      <c r="S118" s="9"/>
      <c r="T118" s="9" t="s">
        <v>26</v>
      </c>
      <c r="U118" s="9"/>
      <c r="V118" s="22">
        <v>1.12523</v>
      </c>
      <c r="W118" s="25">
        <v>1.4430000000000001</v>
      </c>
      <c r="X118" s="9"/>
      <c r="Y118" s="9" t="s">
        <v>26</v>
      </c>
      <c r="Z118" s="22">
        <v>1.4902</v>
      </c>
      <c r="AA118" s="22">
        <v>2.4325700000000001</v>
      </c>
      <c r="AB118" s="25">
        <v>2.0264000000000002</v>
      </c>
      <c r="AC118" s="9"/>
      <c r="AD118" s="9" t="s">
        <v>26</v>
      </c>
      <c r="AE118" s="22">
        <v>0.58716999999999997</v>
      </c>
      <c r="AF118" s="22">
        <v>1.03983</v>
      </c>
      <c r="AG118" s="13"/>
      <c r="AH118" s="9"/>
      <c r="AI118" s="9" t="s">
        <v>26</v>
      </c>
      <c r="AJ118" s="9"/>
      <c r="AK118" s="22">
        <v>14.575799999999999</v>
      </c>
      <c r="AL118" s="25">
        <v>3.4072</v>
      </c>
      <c r="AM118" s="9"/>
      <c r="AN118" s="9" t="s">
        <v>26</v>
      </c>
      <c r="AO118" s="22">
        <v>1.6693</v>
      </c>
      <c r="AP118" s="22">
        <v>2.4454099999999999</v>
      </c>
      <c r="AQ118" s="25">
        <v>3.1629</v>
      </c>
      <c r="AR118" s="9"/>
      <c r="AS118" s="9" t="s">
        <v>26</v>
      </c>
      <c r="AT118" s="22">
        <v>0.50036000000000003</v>
      </c>
      <c r="AU118" s="22">
        <v>2.1017700000000001</v>
      </c>
      <c r="AV118" s="25">
        <v>10.879</v>
      </c>
      <c r="AW118" s="9"/>
      <c r="AX118" s="9" t="s">
        <v>26</v>
      </c>
      <c r="AY118" s="22">
        <v>3.5146000000000002</v>
      </c>
      <c r="AZ118" s="22">
        <v>16.533899999999999</v>
      </c>
      <c r="BA118" s="25">
        <v>0.52503999999999995</v>
      </c>
      <c r="BB118" s="9"/>
      <c r="BC118" s="9" t="s">
        <v>26</v>
      </c>
      <c r="BD118" s="22">
        <v>0.18106</v>
      </c>
      <c r="BE118" s="22">
        <v>0.95591300000000001</v>
      </c>
      <c r="BF118" s="25">
        <v>14.581</v>
      </c>
      <c r="BG118" s="9"/>
      <c r="BH118" s="9" t="s">
        <v>26</v>
      </c>
      <c r="BI118" s="22">
        <v>2.5577999999999999</v>
      </c>
      <c r="BJ118" s="23">
        <v>12.6814</v>
      </c>
    </row>
    <row r="119" spans="1:62" ht="15" thickBot="1" x14ac:dyDescent="0.4">
      <c r="A119" s="13" t="s">
        <v>141</v>
      </c>
      <c r="B119" s="13"/>
      <c r="C119" s="13" t="s">
        <v>58</v>
      </c>
      <c r="D119" s="13" t="s">
        <v>65</v>
      </c>
      <c r="E119" s="13">
        <v>6.7887000000000003E-2</v>
      </c>
      <c r="F119" s="21">
        <v>44852</v>
      </c>
      <c r="G119" s="13">
        <v>0.97373842592592597</v>
      </c>
      <c r="H119" s="25">
        <v>32.881999999999998</v>
      </c>
      <c r="I119" s="9"/>
      <c r="J119" s="9" t="s">
        <v>26</v>
      </c>
      <c r="K119" s="22">
        <v>3.1244000000000001</v>
      </c>
      <c r="L119" s="22">
        <v>8.2871699999999997</v>
      </c>
      <c r="M119" s="25">
        <v>43.365000000000002</v>
      </c>
      <c r="N119" s="9"/>
      <c r="O119" s="9" t="s">
        <v>26</v>
      </c>
      <c r="P119" s="22">
        <v>4.7073</v>
      </c>
      <c r="Q119" s="22">
        <v>20.480399999999999</v>
      </c>
      <c r="R119" s="13"/>
      <c r="S119" s="9"/>
      <c r="T119" s="9" t="s">
        <v>26</v>
      </c>
      <c r="U119" s="9"/>
      <c r="V119" s="22">
        <v>1.129</v>
      </c>
      <c r="W119" s="13"/>
      <c r="X119" s="9"/>
      <c r="Y119" s="9" t="s">
        <v>26</v>
      </c>
      <c r="Z119" s="9"/>
      <c r="AA119" s="22">
        <v>4.2237299999999998</v>
      </c>
      <c r="AB119" s="25">
        <v>2.1375999999999999</v>
      </c>
      <c r="AC119" s="9"/>
      <c r="AD119" s="9" t="s">
        <v>26</v>
      </c>
      <c r="AE119" s="22">
        <v>0.75321000000000005</v>
      </c>
      <c r="AF119" s="22">
        <v>0.99337299999999995</v>
      </c>
      <c r="AG119" s="25">
        <v>3.0356999999999998</v>
      </c>
      <c r="AH119" s="9"/>
      <c r="AI119" s="9" t="s">
        <v>26</v>
      </c>
      <c r="AJ119" s="22">
        <v>1.4486000000000001</v>
      </c>
      <c r="AK119" s="22">
        <v>6.6426999999999996</v>
      </c>
      <c r="AL119" s="25">
        <v>4.5167999999999999</v>
      </c>
      <c r="AM119" s="9"/>
      <c r="AN119" s="9" t="s">
        <v>26</v>
      </c>
      <c r="AO119" s="22">
        <v>1.6333</v>
      </c>
      <c r="AP119" s="22">
        <v>2.2178200000000001</v>
      </c>
      <c r="AQ119" s="25">
        <v>4.0202</v>
      </c>
      <c r="AR119" s="9"/>
      <c r="AS119" s="9" t="s">
        <v>26</v>
      </c>
      <c r="AT119" s="22">
        <v>1.3218000000000001</v>
      </c>
      <c r="AU119" s="22">
        <v>2.1207699999999998</v>
      </c>
      <c r="AV119" s="25">
        <v>8.4457000000000004</v>
      </c>
      <c r="AW119" s="9"/>
      <c r="AX119" s="9" t="s">
        <v>26</v>
      </c>
      <c r="AY119" s="22">
        <v>8.0648999999999997</v>
      </c>
      <c r="AZ119" s="22">
        <v>14.071099999999999</v>
      </c>
      <c r="BA119" s="25">
        <v>5.7238999999999998E-2</v>
      </c>
      <c r="BB119" s="9"/>
      <c r="BC119" s="9" t="s">
        <v>26</v>
      </c>
      <c r="BD119" s="22">
        <v>0.1681</v>
      </c>
      <c r="BE119" s="22">
        <v>0.79163099999999997</v>
      </c>
      <c r="BF119" s="25">
        <v>13.744999999999999</v>
      </c>
      <c r="BG119" s="9"/>
      <c r="BH119" s="9" t="s">
        <v>26</v>
      </c>
      <c r="BI119" s="22">
        <v>2.4937999999999998</v>
      </c>
      <c r="BJ119" s="23">
        <v>12.1241</v>
      </c>
    </row>
    <row r="120" spans="1:62" ht="15" thickBot="1" x14ac:dyDescent="0.4">
      <c r="A120" s="13" t="s">
        <v>142</v>
      </c>
      <c r="B120" s="13"/>
      <c r="C120" s="13" t="s">
        <v>58</v>
      </c>
      <c r="D120" s="13" t="s">
        <v>65</v>
      </c>
      <c r="E120" s="13">
        <v>6.3386999999999999E-2</v>
      </c>
      <c r="F120" s="21">
        <v>44853</v>
      </c>
      <c r="G120" s="13">
        <v>1.0158217592592591</v>
      </c>
      <c r="H120" s="25">
        <v>33.32</v>
      </c>
      <c r="I120" s="9"/>
      <c r="J120" s="9" t="s">
        <v>26</v>
      </c>
      <c r="K120" s="22">
        <v>8.3184000000000005</v>
      </c>
      <c r="L120" s="22">
        <v>9.3323</v>
      </c>
      <c r="M120" s="25">
        <v>40.74</v>
      </c>
      <c r="N120" s="9"/>
      <c r="O120" s="9" t="s">
        <v>26</v>
      </c>
      <c r="P120" s="22">
        <v>6.3460000000000001</v>
      </c>
      <c r="Q120" s="22">
        <v>38.277999999999999</v>
      </c>
      <c r="R120" s="13"/>
      <c r="S120" s="9"/>
      <c r="T120" s="9" t="s">
        <v>26</v>
      </c>
      <c r="U120" s="9"/>
      <c r="V120" s="22">
        <v>1.1958599999999999</v>
      </c>
      <c r="W120" s="25">
        <v>1.8064</v>
      </c>
      <c r="X120" s="9"/>
      <c r="Y120" s="9" t="s">
        <v>26</v>
      </c>
      <c r="Z120" s="22">
        <v>0.58926999999999996</v>
      </c>
      <c r="AA120" s="22">
        <v>2.4147400000000001</v>
      </c>
      <c r="AB120" s="25">
        <v>2.7176999999999998</v>
      </c>
      <c r="AC120" s="9"/>
      <c r="AD120" s="9" t="s">
        <v>26</v>
      </c>
      <c r="AE120" s="22">
        <v>0.71399999999999997</v>
      </c>
      <c r="AF120" s="22">
        <v>1.07681</v>
      </c>
      <c r="AG120" s="13"/>
      <c r="AH120" s="9"/>
      <c r="AI120" s="9" t="s">
        <v>26</v>
      </c>
      <c r="AJ120" s="9"/>
      <c r="AK120" s="22">
        <v>15.1839</v>
      </c>
      <c r="AL120" s="25">
        <v>6.3704000000000001</v>
      </c>
      <c r="AM120" s="9"/>
      <c r="AN120" s="9" t="s">
        <v>26</v>
      </c>
      <c r="AO120" s="22">
        <v>1.6867000000000001</v>
      </c>
      <c r="AP120" s="22">
        <v>2.4631699999999999</v>
      </c>
      <c r="AQ120" s="25">
        <v>5.9688999999999997</v>
      </c>
      <c r="AR120" s="9"/>
      <c r="AS120" s="9" t="s">
        <v>26</v>
      </c>
      <c r="AT120" s="22">
        <v>1.4182999999999999</v>
      </c>
      <c r="AU120" s="22">
        <v>2.1400999999999999</v>
      </c>
      <c r="AV120" s="25">
        <v>3.9260999999999999</v>
      </c>
      <c r="AW120" s="9"/>
      <c r="AX120" s="9" t="s">
        <v>26</v>
      </c>
      <c r="AY120" s="22">
        <v>3.7816000000000001</v>
      </c>
      <c r="AZ120" s="22">
        <v>13.132999999999999</v>
      </c>
      <c r="BA120" s="25">
        <v>0.65913999999999995</v>
      </c>
      <c r="BB120" s="9"/>
      <c r="BC120" s="9" t="s">
        <v>26</v>
      </c>
      <c r="BD120" s="22">
        <v>0.64702999999999999</v>
      </c>
      <c r="BE120" s="22">
        <v>0.82195200000000002</v>
      </c>
      <c r="BF120" s="25">
        <v>13.518000000000001</v>
      </c>
      <c r="BG120" s="9"/>
      <c r="BH120" s="9" t="s">
        <v>26</v>
      </c>
      <c r="BI120" s="22">
        <v>2.5849000000000002</v>
      </c>
      <c r="BJ120" s="23">
        <v>15.246</v>
      </c>
    </row>
    <row r="121" spans="1:62" ht="15" thickBot="1" x14ac:dyDescent="0.4">
      <c r="A121" s="13" t="s">
        <v>143</v>
      </c>
      <c r="B121" s="13"/>
      <c r="C121" s="13" t="s">
        <v>58</v>
      </c>
      <c r="D121" s="13" t="s">
        <v>65</v>
      </c>
      <c r="E121" s="13">
        <v>6.6113000000000005E-2</v>
      </c>
      <c r="F121" s="21">
        <v>44854</v>
      </c>
      <c r="G121" s="13">
        <v>1.0380439814814815</v>
      </c>
      <c r="H121" s="25">
        <v>36.036999999999999</v>
      </c>
      <c r="I121" s="9"/>
      <c r="J121" s="9" t="s">
        <v>26</v>
      </c>
      <c r="K121" s="22">
        <v>3.117</v>
      </c>
      <c r="L121" s="22">
        <v>7.4778900000000004</v>
      </c>
      <c r="M121" s="25">
        <v>35.572000000000003</v>
      </c>
      <c r="N121" s="9"/>
      <c r="O121" s="9" t="s">
        <v>26</v>
      </c>
      <c r="P121" s="22">
        <v>13.398999999999999</v>
      </c>
      <c r="Q121" s="22">
        <v>20.728999999999999</v>
      </c>
      <c r="R121" s="13"/>
      <c r="S121" s="9"/>
      <c r="T121" s="9" t="s">
        <v>26</v>
      </c>
      <c r="U121" s="9"/>
      <c r="V121" s="22">
        <v>1.0974600000000001</v>
      </c>
      <c r="W121" s="25">
        <v>2.7490000000000001</v>
      </c>
      <c r="X121" s="9"/>
      <c r="Y121" s="9" t="s">
        <v>26</v>
      </c>
      <c r="Z121" s="22">
        <v>5.2828999999999997</v>
      </c>
      <c r="AA121" s="22">
        <v>2.2985500000000001</v>
      </c>
      <c r="AB121" s="25">
        <v>2.2254999999999998</v>
      </c>
      <c r="AC121" s="9"/>
      <c r="AD121" s="9" t="s">
        <v>26</v>
      </c>
      <c r="AE121" s="22">
        <v>0.63029999999999997</v>
      </c>
      <c r="AF121" s="22">
        <v>1.0078499999999999</v>
      </c>
      <c r="AG121" s="13"/>
      <c r="AH121" s="9"/>
      <c r="AI121" s="9" t="s">
        <v>26</v>
      </c>
      <c r="AJ121" s="9"/>
      <c r="AK121" s="22">
        <v>13.775</v>
      </c>
      <c r="AL121" s="25">
        <v>5.5842999999999998</v>
      </c>
      <c r="AM121" s="9"/>
      <c r="AN121" s="9" t="s">
        <v>26</v>
      </c>
      <c r="AO121" s="22">
        <v>0.59001999999999999</v>
      </c>
      <c r="AP121" s="22">
        <v>2.2041900000000001</v>
      </c>
      <c r="AQ121" s="25">
        <v>6.4709000000000003</v>
      </c>
      <c r="AR121" s="9"/>
      <c r="AS121" s="9" t="s">
        <v>26</v>
      </c>
      <c r="AT121" s="22">
        <v>1.3552</v>
      </c>
      <c r="AU121" s="22">
        <v>2.0773199999999998</v>
      </c>
      <c r="AV121" s="25">
        <v>3.8448000000000002</v>
      </c>
      <c r="AW121" s="9"/>
      <c r="AX121" s="9" t="s">
        <v>26</v>
      </c>
      <c r="AY121" s="22">
        <v>5.2888999999999999</v>
      </c>
      <c r="AZ121" s="22">
        <v>13.258900000000001</v>
      </c>
      <c r="BA121" s="25">
        <v>0.71457999999999999</v>
      </c>
      <c r="BB121" s="9"/>
      <c r="BC121" s="9" t="s">
        <v>26</v>
      </c>
      <c r="BD121" s="22">
        <v>0.1774</v>
      </c>
      <c r="BE121" s="22">
        <v>0.89616499999999999</v>
      </c>
      <c r="BF121" s="25">
        <v>21.286999999999999</v>
      </c>
      <c r="BG121" s="9"/>
      <c r="BH121" s="9" t="s">
        <v>26</v>
      </c>
      <c r="BI121" s="22">
        <v>2.6480999999999999</v>
      </c>
      <c r="BJ121" s="23">
        <v>13.033099999999999</v>
      </c>
    </row>
    <row r="122" spans="1:62" ht="15" thickBot="1" x14ac:dyDescent="0.4">
      <c r="A122" s="13" t="s">
        <v>144</v>
      </c>
      <c r="B122" s="13"/>
      <c r="C122" s="13" t="s">
        <v>58</v>
      </c>
      <c r="D122" s="13" t="s">
        <v>65</v>
      </c>
      <c r="E122" s="13">
        <v>6.5645999999999996E-2</v>
      </c>
      <c r="F122" s="21">
        <v>44855</v>
      </c>
      <c r="G122" s="13">
        <v>2.6553703703703699</v>
      </c>
      <c r="H122" s="25">
        <v>33.22</v>
      </c>
      <c r="I122" s="9"/>
      <c r="J122" s="9" t="s">
        <v>26</v>
      </c>
      <c r="K122" s="22">
        <v>2.3252999999999999</v>
      </c>
      <c r="L122" s="22">
        <v>5.0798800000000002</v>
      </c>
      <c r="M122" s="25">
        <v>24.263000000000002</v>
      </c>
      <c r="N122" s="9"/>
      <c r="O122" s="9" t="s">
        <v>26</v>
      </c>
      <c r="P122" s="22">
        <v>2.6823999999999999</v>
      </c>
      <c r="Q122" s="22">
        <v>12.378299999999999</v>
      </c>
      <c r="R122" s="13"/>
      <c r="S122" s="9"/>
      <c r="T122" s="9" t="s">
        <v>26</v>
      </c>
      <c r="U122" s="9"/>
      <c r="V122" s="22">
        <v>0.69457599999999997</v>
      </c>
      <c r="W122" s="25">
        <v>1.6332</v>
      </c>
      <c r="X122" s="9"/>
      <c r="Y122" s="9" t="s">
        <v>26</v>
      </c>
      <c r="Z122" s="22">
        <v>0.37734000000000001</v>
      </c>
      <c r="AA122" s="22">
        <v>1.75885</v>
      </c>
      <c r="AB122" s="25">
        <v>2.1234000000000002</v>
      </c>
      <c r="AC122" s="9"/>
      <c r="AD122" s="9" t="s">
        <v>26</v>
      </c>
      <c r="AE122" s="22">
        <v>0.51741999999999999</v>
      </c>
      <c r="AF122" s="22">
        <v>0.68128900000000003</v>
      </c>
      <c r="AG122" s="25">
        <v>1.9924999999999999</v>
      </c>
      <c r="AH122" s="9"/>
      <c r="AI122" s="9" t="s">
        <v>26</v>
      </c>
      <c r="AJ122" s="22">
        <v>0.97443000000000002</v>
      </c>
      <c r="AK122" s="22">
        <v>4.6306399999999996</v>
      </c>
      <c r="AL122" s="25">
        <v>5.9173999999999998</v>
      </c>
      <c r="AM122" s="9"/>
      <c r="AN122" s="9" t="s">
        <v>26</v>
      </c>
      <c r="AO122" s="22">
        <v>0.26268000000000002</v>
      </c>
      <c r="AP122" s="22">
        <v>1.53155</v>
      </c>
      <c r="AQ122" s="25">
        <v>6.7537000000000003</v>
      </c>
      <c r="AR122" s="9"/>
      <c r="AS122" s="9" t="s">
        <v>26</v>
      </c>
      <c r="AT122" s="22">
        <v>0.87817000000000001</v>
      </c>
      <c r="AU122" s="22">
        <v>1.50664</v>
      </c>
      <c r="AV122" s="25">
        <v>0.70643</v>
      </c>
      <c r="AW122" s="9"/>
      <c r="AX122" s="9" t="s">
        <v>26</v>
      </c>
      <c r="AY122" s="22">
        <v>3.1114000000000002</v>
      </c>
      <c r="AZ122" s="22">
        <v>10.773</v>
      </c>
      <c r="BA122" s="25">
        <v>0.39106000000000002</v>
      </c>
      <c r="BB122" s="9"/>
      <c r="BC122" s="9" t="s">
        <v>26</v>
      </c>
      <c r="BD122" s="22">
        <v>0.11946</v>
      </c>
      <c r="BE122" s="22">
        <v>0.55157800000000001</v>
      </c>
      <c r="BF122" s="25">
        <v>19.329999999999998</v>
      </c>
      <c r="BG122" s="9"/>
      <c r="BH122" s="9" t="s">
        <v>26</v>
      </c>
      <c r="BI122" s="22">
        <v>5.1372999999999998</v>
      </c>
      <c r="BJ122" s="23">
        <v>11.9267</v>
      </c>
    </row>
    <row r="123" spans="1:62" ht="15" thickBot="1" x14ac:dyDescent="0.4">
      <c r="A123" s="13" t="s">
        <v>145</v>
      </c>
      <c r="B123" s="13"/>
      <c r="C123" s="13" t="s">
        <v>58</v>
      </c>
      <c r="D123" s="13" t="s">
        <v>65</v>
      </c>
      <c r="E123" s="13">
        <v>6.7882999999999999E-2</v>
      </c>
      <c r="F123" s="21">
        <v>44858</v>
      </c>
      <c r="G123" s="13">
        <v>1.9592129629629633</v>
      </c>
      <c r="H123" s="25">
        <v>48.165999999999997</v>
      </c>
      <c r="I123" s="9"/>
      <c r="J123" s="9" t="s">
        <v>26</v>
      </c>
      <c r="K123" s="22">
        <v>8.8505000000000003</v>
      </c>
      <c r="L123" s="22">
        <v>5.5978399999999997</v>
      </c>
      <c r="M123" s="25">
        <v>28.08</v>
      </c>
      <c r="N123" s="9"/>
      <c r="O123" s="9" t="s">
        <v>26</v>
      </c>
      <c r="P123" s="22">
        <v>7.8796999999999997</v>
      </c>
      <c r="Q123" s="22">
        <v>19.4145</v>
      </c>
      <c r="R123" s="13"/>
      <c r="S123" s="9"/>
      <c r="T123" s="9" t="s">
        <v>26</v>
      </c>
      <c r="U123" s="9"/>
      <c r="V123" s="22">
        <v>0.81023100000000003</v>
      </c>
      <c r="W123" s="25">
        <v>3.0847000000000002</v>
      </c>
      <c r="X123" s="9"/>
      <c r="Y123" s="9" t="s">
        <v>26</v>
      </c>
      <c r="Z123" s="22">
        <v>1.869</v>
      </c>
      <c r="AA123" s="22">
        <v>1.91597</v>
      </c>
      <c r="AB123" s="25">
        <v>3.1413000000000002</v>
      </c>
      <c r="AC123" s="9"/>
      <c r="AD123" s="9" t="s">
        <v>26</v>
      </c>
      <c r="AE123" s="22">
        <v>0.20727000000000001</v>
      </c>
      <c r="AF123" s="22">
        <v>0.75177300000000002</v>
      </c>
      <c r="AG123" s="13"/>
      <c r="AH123" s="9"/>
      <c r="AI123" s="9" t="s">
        <v>26</v>
      </c>
      <c r="AJ123" s="9"/>
      <c r="AK123" s="22">
        <v>9.5953400000000002</v>
      </c>
      <c r="AL123" s="25">
        <v>6.7558999999999996</v>
      </c>
      <c r="AM123" s="9"/>
      <c r="AN123" s="9" t="s">
        <v>26</v>
      </c>
      <c r="AO123" s="22">
        <v>0.46761999999999998</v>
      </c>
      <c r="AP123" s="22">
        <v>1.70624</v>
      </c>
      <c r="AQ123" s="25">
        <v>7.2324999999999999</v>
      </c>
      <c r="AR123" s="9"/>
      <c r="AS123" s="9" t="s">
        <v>26</v>
      </c>
      <c r="AT123" s="22">
        <v>0.42616999999999999</v>
      </c>
      <c r="AU123" s="22">
        <v>1.59073</v>
      </c>
      <c r="AV123" s="25">
        <v>4.0334000000000003</v>
      </c>
      <c r="AW123" s="9"/>
      <c r="AX123" s="9" t="s">
        <v>26</v>
      </c>
      <c r="AY123" s="22">
        <v>3.9375</v>
      </c>
      <c r="AZ123" s="22">
        <v>11.216100000000001</v>
      </c>
      <c r="BA123" s="25">
        <v>0.80940999999999996</v>
      </c>
      <c r="BB123" s="9"/>
      <c r="BC123" s="9" t="s">
        <v>26</v>
      </c>
      <c r="BD123" s="22">
        <v>0.42729</v>
      </c>
      <c r="BE123" s="22">
        <v>0.61855400000000005</v>
      </c>
      <c r="BF123" s="25">
        <v>14.608000000000001</v>
      </c>
      <c r="BG123" s="9"/>
      <c r="BH123" s="9" t="s">
        <v>26</v>
      </c>
      <c r="BI123" s="22">
        <v>1.9125000000000001</v>
      </c>
      <c r="BJ123" s="23">
        <v>10.0686</v>
      </c>
    </row>
    <row r="124" spans="1:62" ht="15" thickBot="1" x14ac:dyDescent="0.4">
      <c r="A124" s="13" t="s">
        <v>146</v>
      </c>
      <c r="B124" s="13"/>
      <c r="C124" s="13" t="s">
        <v>58</v>
      </c>
      <c r="D124" s="13" t="s">
        <v>65</v>
      </c>
      <c r="E124" s="13">
        <v>6.1469999999999997E-2</v>
      </c>
      <c r="F124" s="21">
        <v>44860</v>
      </c>
      <c r="G124" s="13">
        <v>1.0586921296296297</v>
      </c>
      <c r="H124" s="25">
        <v>42.241</v>
      </c>
      <c r="I124" s="9"/>
      <c r="J124" s="9" t="s">
        <v>26</v>
      </c>
      <c r="K124" s="22">
        <v>9.1471999999999998</v>
      </c>
      <c r="L124" s="22">
        <v>7.91472</v>
      </c>
      <c r="M124" s="25">
        <v>35.475000000000001</v>
      </c>
      <c r="N124" s="9"/>
      <c r="O124" s="9" t="s">
        <v>26</v>
      </c>
      <c r="P124" s="22">
        <v>4.5727000000000002</v>
      </c>
      <c r="Q124" s="22">
        <v>18.968900000000001</v>
      </c>
      <c r="R124" s="13"/>
      <c r="S124" s="9"/>
      <c r="T124" s="9" t="s">
        <v>26</v>
      </c>
      <c r="U124" s="9"/>
      <c r="V124" s="22">
        <v>1.22183</v>
      </c>
      <c r="W124" s="25">
        <v>1.7225999999999999</v>
      </c>
      <c r="X124" s="9"/>
      <c r="Y124" s="9" t="s">
        <v>26</v>
      </c>
      <c r="Z124" s="22">
        <v>0.60275999999999996</v>
      </c>
      <c r="AA124" s="22">
        <v>2.5414699999999999</v>
      </c>
      <c r="AB124" s="25">
        <v>3.0781999999999998</v>
      </c>
      <c r="AC124" s="9"/>
      <c r="AD124" s="9" t="s">
        <v>26</v>
      </c>
      <c r="AE124" s="22">
        <v>0.76336000000000004</v>
      </c>
      <c r="AF124" s="22">
        <v>1.1144099999999999</v>
      </c>
      <c r="AG124" s="13"/>
      <c r="AH124" s="9"/>
      <c r="AI124" s="9" t="s">
        <v>26</v>
      </c>
      <c r="AJ124" s="9"/>
      <c r="AK124" s="22">
        <v>14.8741</v>
      </c>
      <c r="AL124" s="25">
        <v>5.3089000000000004</v>
      </c>
      <c r="AM124" s="9"/>
      <c r="AN124" s="9" t="s">
        <v>26</v>
      </c>
      <c r="AO124" s="22">
        <v>0.62727999999999995</v>
      </c>
      <c r="AP124" s="22">
        <v>2.57274</v>
      </c>
      <c r="AQ124" s="25">
        <v>4.8266999999999998</v>
      </c>
      <c r="AR124" s="9"/>
      <c r="AS124" s="9" t="s">
        <v>26</v>
      </c>
      <c r="AT124" s="22">
        <v>1.3303</v>
      </c>
      <c r="AU124" s="22">
        <v>2.1911700000000001</v>
      </c>
      <c r="AV124" s="25">
        <v>6.3658000000000001</v>
      </c>
      <c r="AW124" s="9"/>
      <c r="AX124" s="9" t="s">
        <v>26</v>
      </c>
      <c r="AY124" s="22">
        <v>4.6680000000000001</v>
      </c>
      <c r="AZ124" s="22">
        <v>13.498900000000001</v>
      </c>
      <c r="BA124" s="25">
        <v>0.82994999999999997</v>
      </c>
      <c r="BB124" s="9"/>
      <c r="BC124" s="9" t="s">
        <v>26</v>
      </c>
      <c r="BD124" s="22">
        <v>0.19508</v>
      </c>
      <c r="BE124" s="22">
        <v>0.91843699999999995</v>
      </c>
      <c r="BF124" s="25">
        <v>9.7346000000000004</v>
      </c>
      <c r="BG124" s="9"/>
      <c r="BH124" s="9" t="s">
        <v>26</v>
      </c>
      <c r="BI124" s="22">
        <v>2.4279999999999999</v>
      </c>
      <c r="BJ124" s="23">
        <v>13.0481</v>
      </c>
    </row>
    <row r="125" spans="1:62" ht="15" thickBot="1" x14ac:dyDescent="0.4">
      <c r="A125" s="13" t="s">
        <v>147</v>
      </c>
      <c r="B125" s="13"/>
      <c r="C125" s="13" t="s">
        <v>58</v>
      </c>
      <c r="D125" s="13" t="s">
        <v>65</v>
      </c>
      <c r="E125" s="13">
        <v>6.2601000000000004E-2</v>
      </c>
      <c r="F125" s="21">
        <v>44861</v>
      </c>
      <c r="G125" s="13">
        <v>1.0085879629629628</v>
      </c>
      <c r="H125" s="25">
        <v>27.715</v>
      </c>
      <c r="I125" s="9"/>
      <c r="J125" s="9" t="s">
        <v>26</v>
      </c>
      <c r="K125" s="22">
        <v>3.0655999999999999</v>
      </c>
      <c r="L125" s="22">
        <v>9.2072500000000002</v>
      </c>
      <c r="M125" s="25">
        <v>30.59</v>
      </c>
      <c r="N125" s="9"/>
      <c r="O125" s="9" t="s">
        <v>26</v>
      </c>
      <c r="P125" s="22">
        <v>4.2930000000000001</v>
      </c>
      <c r="Q125" s="22">
        <v>30.2026</v>
      </c>
      <c r="R125" s="13"/>
      <c r="S125" s="9"/>
      <c r="T125" s="9" t="s">
        <v>26</v>
      </c>
      <c r="U125" s="9"/>
      <c r="V125" s="22">
        <v>1.22658</v>
      </c>
      <c r="W125" s="25">
        <v>1.3580000000000001</v>
      </c>
      <c r="X125" s="9"/>
      <c r="Y125" s="9" t="s">
        <v>26</v>
      </c>
      <c r="Z125" s="22">
        <v>0.57647999999999999</v>
      </c>
      <c r="AA125" s="22">
        <v>2.4322300000000001</v>
      </c>
      <c r="AB125" s="25">
        <v>1.9570000000000001</v>
      </c>
      <c r="AC125" s="9"/>
      <c r="AD125" s="9" t="s">
        <v>26</v>
      </c>
      <c r="AE125" s="22">
        <v>0.26685999999999999</v>
      </c>
      <c r="AF125" s="22">
        <v>1.0701799999999999</v>
      </c>
      <c r="AG125" s="13"/>
      <c r="AH125" s="9"/>
      <c r="AI125" s="9" t="s">
        <v>26</v>
      </c>
      <c r="AJ125" s="9"/>
      <c r="AK125" s="22">
        <v>14.767300000000001</v>
      </c>
      <c r="AL125" s="25">
        <v>4.2316000000000003</v>
      </c>
      <c r="AM125" s="9"/>
      <c r="AN125" s="9" t="s">
        <v>26</v>
      </c>
      <c r="AO125" s="22">
        <v>1.6266</v>
      </c>
      <c r="AP125" s="22">
        <v>2.6152199999999999</v>
      </c>
      <c r="AQ125" s="25">
        <v>4.8272000000000004</v>
      </c>
      <c r="AR125" s="9"/>
      <c r="AS125" s="9" t="s">
        <v>26</v>
      </c>
      <c r="AT125" s="22">
        <v>1.3998999999999999</v>
      </c>
      <c r="AU125" s="22">
        <v>2.16412</v>
      </c>
      <c r="AV125" s="25">
        <v>3.1696</v>
      </c>
      <c r="AW125" s="9"/>
      <c r="AX125" s="9" t="s">
        <v>26</v>
      </c>
      <c r="AY125" s="22">
        <v>3.5912000000000002</v>
      </c>
      <c r="AZ125" s="22">
        <v>13.331300000000001</v>
      </c>
      <c r="BA125" s="25">
        <v>0.78951000000000005</v>
      </c>
      <c r="BB125" s="9"/>
      <c r="BC125" s="9" t="s">
        <v>26</v>
      </c>
      <c r="BD125" s="22">
        <v>0.60138000000000003</v>
      </c>
      <c r="BE125" s="22">
        <v>0.82892999999999994</v>
      </c>
      <c r="BF125" s="25">
        <v>13.122</v>
      </c>
      <c r="BG125" s="9"/>
      <c r="BH125" s="9" t="s">
        <v>26</v>
      </c>
      <c r="BI125" s="22">
        <v>2.5493999999999999</v>
      </c>
      <c r="BJ125" s="23">
        <v>10.9245</v>
      </c>
    </row>
    <row r="126" spans="1:62" ht="15" thickBot="1" x14ac:dyDescent="0.4">
      <c r="A126" s="13" t="s">
        <v>148</v>
      </c>
      <c r="B126" s="13"/>
      <c r="C126" s="13" t="s">
        <v>58</v>
      </c>
      <c r="D126" s="13" t="s">
        <v>65</v>
      </c>
      <c r="E126" s="13">
        <v>6.7488000000000006E-2</v>
      </c>
      <c r="F126" s="21">
        <v>44862</v>
      </c>
      <c r="G126" s="13">
        <v>2.7641898148148147</v>
      </c>
      <c r="H126" s="25">
        <v>31.555</v>
      </c>
      <c r="I126" s="9"/>
      <c r="J126" s="9" t="s">
        <v>26</v>
      </c>
      <c r="K126" s="22">
        <v>6.1022999999999996</v>
      </c>
      <c r="L126" s="22">
        <v>5.3644600000000002</v>
      </c>
      <c r="M126" s="25">
        <v>34.392000000000003</v>
      </c>
      <c r="N126" s="9"/>
      <c r="O126" s="9" t="s">
        <v>26</v>
      </c>
      <c r="P126" s="22">
        <v>7.2134999999999998</v>
      </c>
      <c r="Q126" s="22">
        <v>12.7514</v>
      </c>
      <c r="R126" s="13"/>
      <c r="S126" s="9"/>
      <c r="T126" s="9" t="s">
        <v>26</v>
      </c>
      <c r="U126" s="9"/>
      <c r="V126" s="22">
        <v>0.67686100000000005</v>
      </c>
      <c r="W126" s="25">
        <v>1.5711999999999999</v>
      </c>
      <c r="X126" s="9"/>
      <c r="Y126" s="9" t="s">
        <v>26</v>
      </c>
      <c r="Z126" s="22">
        <v>1.8752</v>
      </c>
      <c r="AA126" s="22">
        <v>1.50569</v>
      </c>
      <c r="AB126" s="25">
        <v>1.6809000000000001</v>
      </c>
      <c r="AC126" s="9"/>
      <c r="AD126" s="9" t="s">
        <v>26</v>
      </c>
      <c r="AE126" s="22">
        <v>0.24337</v>
      </c>
      <c r="AF126" s="22">
        <v>0.65990300000000002</v>
      </c>
      <c r="AG126" s="13"/>
      <c r="AH126" s="9"/>
      <c r="AI126" s="9" t="s">
        <v>26</v>
      </c>
      <c r="AJ126" s="9"/>
      <c r="AK126" s="22">
        <v>8.35853</v>
      </c>
      <c r="AL126" s="25">
        <v>4.5035999999999996</v>
      </c>
      <c r="AM126" s="9"/>
      <c r="AN126" s="9" t="s">
        <v>26</v>
      </c>
      <c r="AO126" s="22">
        <v>0.37927</v>
      </c>
      <c r="AP126" s="22">
        <v>1.5693699999999999</v>
      </c>
      <c r="AQ126" s="25">
        <v>3.2923</v>
      </c>
      <c r="AR126" s="9"/>
      <c r="AS126" s="9" t="s">
        <v>26</v>
      </c>
      <c r="AT126" s="22">
        <v>0.69679999999999997</v>
      </c>
      <c r="AU126" s="22">
        <v>1.3234600000000001</v>
      </c>
      <c r="AV126" s="25">
        <v>1.1244000000000001</v>
      </c>
      <c r="AW126" s="9"/>
      <c r="AX126" s="9" t="s">
        <v>26</v>
      </c>
      <c r="AY126" s="22">
        <v>3.9830999999999999</v>
      </c>
      <c r="AZ126" s="22">
        <v>10.7402</v>
      </c>
      <c r="BA126" s="25">
        <v>0.46100999999999998</v>
      </c>
      <c r="BB126" s="9"/>
      <c r="BC126" s="9" t="s">
        <v>26</v>
      </c>
      <c r="BD126" s="22">
        <v>0.35032999999999997</v>
      </c>
      <c r="BE126" s="22">
        <v>0.55527800000000005</v>
      </c>
      <c r="BF126" s="25">
        <v>16.023</v>
      </c>
      <c r="BG126" s="9"/>
      <c r="BH126" s="9" t="s">
        <v>26</v>
      </c>
      <c r="BI126" s="22">
        <v>4.5092999999999996</v>
      </c>
      <c r="BJ126" s="23">
        <v>7.6725700000000003</v>
      </c>
    </row>
    <row r="127" spans="1:62" ht="15" thickBot="1" x14ac:dyDescent="0.4">
      <c r="A127" s="13" t="s">
        <v>149</v>
      </c>
      <c r="B127" s="13"/>
      <c r="C127" s="13" t="s">
        <v>58</v>
      </c>
      <c r="D127" s="13" t="s">
        <v>65</v>
      </c>
      <c r="E127" s="13">
        <v>6.1612E-2</v>
      </c>
      <c r="F127" s="21">
        <v>44865</v>
      </c>
      <c r="G127" s="13">
        <v>0.93589120370370382</v>
      </c>
      <c r="H127" s="25">
        <v>28.158999999999999</v>
      </c>
      <c r="I127" s="9"/>
      <c r="J127" s="9" t="s">
        <v>26</v>
      </c>
      <c r="K127" s="22">
        <v>13.96</v>
      </c>
      <c r="L127" s="22">
        <v>7.64323</v>
      </c>
      <c r="M127" s="25">
        <v>15.936999999999999</v>
      </c>
      <c r="N127" s="9"/>
      <c r="O127" s="9" t="s">
        <v>26</v>
      </c>
      <c r="P127" s="22">
        <v>3.3170000000000002</v>
      </c>
      <c r="Q127" s="22">
        <v>22.119</v>
      </c>
      <c r="R127" s="13"/>
      <c r="S127" s="9"/>
      <c r="T127" s="9" t="s">
        <v>26</v>
      </c>
      <c r="U127" s="9"/>
      <c r="V127" s="22">
        <v>1.26613</v>
      </c>
      <c r="W127" s="25">
        <v>1.4681999999999999</v>
      </c>
      <c r="X127" s="9"/>
      <c r="Y127" s="9" t="s">
        <v>26</v>
      </c>
      <c r="Z127" s="22">
        <v>0.61262000000000005</v>
      </c>
      <c r="AA127" s="22">
        <v>2.5898599999999998</v>
      </c>
      <c r="AB127" s="25">
        <v>3.3748</v>
      </c>
      <c r="AC127" s="9"/>
      <c r="AD127" s="9" t="s">
        <v>26</v>
      </c>
      <c r="AE127" s="22">
        <v>0.73453999999999997</v>
      </c>
      <c r="AF127" s="22">
        <v>1.13863</v>
      </c>
      <c r="AG127" s="25">
        <v>3.6097000000000001</v>
      </c>
      <c r="AH127" s="9"/>
      <c r="AI127" s="9" t="s">
        <v>26</v>
      </c>
      <c r="AJ127" s="22">
        <v>1.6296999999999999</v>
      </c>
      <c r="AK127" s="22">
        <v>7.7062900000000001</v>
      </c>
      <c r="AL127" s="25">
        <v>5.9191000000000003</v>
      </c>
      <c r="AM127" s="9"/>
      <c r="AN127" s="9" t="s">
        <v>26</v>
      </c>
      <c r="AO127" s="22">
        <v>1.8492999999999999</v>
      </c>
      <c r="AP127" s="22">
        <v>2.7221299999999999</v>
      </c>
      <c r="AQ127" s="25">
        <v>5.734</v>
      </c>
      <c r="AR127" s="9"/>
      <c r="AS127" s="9" t="s">
        <v>26</v>
      </c>
      <c r="AT127" s="22">
        <v>1.6122000000000001</v>
      </c>
      <c r="AU127" s="22">
        <v>2.27258</v>
      </c>
      <c r="AV127" s="25">
        <v>13.794</v>
      </c>
      <c r="AW127" s="9"/>
      <c r="AX127" s="9" t="s">
        <v>26</v>
      </c>
      <c r="AY127" s="22">
        <v>3.7732000000000001</v>
      </c>
      <c r="AZ127" s="22">
        <v>16.607299999999999</v>
      </c>
      <c r="BA127" s="25">
        <v>0.49922</v>
      </c>
      <c r="BB127" s="9"/>
      <c r="BC127" s="9" t="s">
        <v>26</v>
      </c>
      <c r="BD127" s="22">
        <v>0.19524</v>
      </c>
      <c r="BE127" s="22">
        <v>0.86636000000000002</v>
      </c>
      <c r="BF127" s="25">
        <v>17.957999999999998</v>
      </c>
      <c r="BG127" s="9"/>
      <c r="BH127" s="9" t="s">
        <v>26</v>
      </c>
      <c r="BI127" s="22">
        <v>8.4473000000000003</v>
      </c>
      <c r="BJ127" s="23">
        <v>18.855699999999999</v>
      </c>
    </row>
    <row r="128" spans="1:62" ht="15" thickBot="1" x14ac:dyDescent="0.4">
      <c r="A128" s="13" t="s">
        <v>150</v>
      </c>
      <c r="B128" s="13"/>
      <c r="C128" s="13" t="s">
        <v>58</v>
      </c>
      <c r="D128" s="13" t="s">
        <v>65</v>
      </c>
      <c r="E128" s="13">
        <v>6.3698000000000005E-2</v>
      </c>
      <c r="F128" s="21">
        <v>44866</v>
      </c>
      <c r="G128" s="13">
        <v>0.99031249999999993</v>
      </c>
      <c r="H128" s="26">
        <v>27.044</v>
      </c>
      <c r="I128" s="10"/>
      <c r="J128" s="10" t="s">
        <v>26</v>
      </c>
      <c r="K128" s="18">
        <v>4.2977999999999996</v>
      </c>
      <c r="L128" s="18">
        <v>8.3671600000000002</v>
      </c>
      <c r="M128" s="26">
        <v>17.346</v>
      </c>
      <c r="N128" s="10"/>
      <c r="O128" s="10" t="s">
        <v>26</v>
      </c>
      <c r="P128" s="18">
        <v>3.5484</v>
      </c>
      <c r="Q128" s="18">
        <v>21.1068</v>
      </c>
      <c r="R128" s="11"/>
      <c r="S128" s="10"/>
      <c r="T128" s="10" t="s">
        <v>26</v>
      </c>
      <c r="U128" s="10"/>
      <c r="V128" s="18">
        <v>1.2329399999999999</v>
      </c>
      <c r="W128" s="26">
        <v>4.3155999999999999</v>
      </c>
      <c r="X128" s="10"/>
      <c r="Y128" s="10" t="s">
        <v>26</v>
      </c>
      <c r="Z128" s="18">
        <v>2.5394999999999999</v>
      </c>
      <c r="AA128" s="18">
        <v>3.92049</v>
      </c>
      <c r="AB128" s="26">
        <v>1.6568000000000001</v>
      </c>
      <c r="AC128" s="10"/>
      <c r="AD128" s="10" t="s">
        <v>26</v>
      </c>
      <c r="AE128" s="18">
        <v>0.26545000000000002</v>
      </c>
      <c r="AF128" s="18">
        <v>1.12025</v>
      </c>
      <c r="AG128" s="11"/>
      <c r="AH128" s="10"/>
      <c r="AI128" s="10" t="s">
        <v>26</v>
      </c>
      <c r="AJ128" s="10"/>
      <c r="AK128" s="18">
        <v>15.4771</v>
      </c>
      <c r="AL128" s="26">
        <v>5.5335999999999999</v>
      </c>
      <c r="AM128" s="10"/>
      <c r="AN128" s="10" t="s">
        <v>26</v>
      </c>
      <c r="AO128" s="18">
        <v>0.62785999999999997</v>
      </c>
      <c r="AP128" s="18">
        <v>2.5270100000000002</v>
      </c>
      <c r="AQ128" s="26">
        <v>5.0903999999999998</v>
      </c>
      <c r="AR128" s="10"/>
      <c r="AS128" s="10" t="s">
        <v>26</v>
      </c>
      <c r="AT128" s="18">
        <v>0.78754999999999997</v>
      </c>
      <c r="AU128" s="18">
        <v>2.1286800000000001</v>
      </c>
      <c r="AV128" s="26">
        <v>6.5711000000000004</v>
      </c>
      <c r="AW128" s="10"/>
      <c r="AX128" s="10" t="s">
        <v>26</v>
      </c>
      <c r="AY128" s="18">
        <v>3.5407000000000002</v>
      </c>
      <c r="AZ128" s="18">
        <v>14.0974</v>
      </c>
      <c r="BA128" s="26">
        <v>0.74434</v>
      </c>
      <c r="BB128" s="10"/>
      <c r="BC128" s="10" t="s">
        <v>26</v>
      </c>
      <c r="BD128" s="18">
        <v>0.18926000000000001</v>
      </c>
      <c r="BE128" s="18">
        <v>0.85753900000000005</v>
      </c>
      <c r="BF128" s="26">
        <v>17.021999999999998</v>
      </c>
      <c r="BG128" s="10"/>
      <c r="BH128" s="10" t="s">
        <v>26</v>
      </c>
      <c r="BI128" s="18">
        <v>2.6873</v>
      </c>
      <c r="BJ128" s="19">
        <v>13.119</v>
      </c>
    </row>
    <row r="129" spans="1:62" ht="15" thickBot="1" x14ac:dyDescent="0.4">
      <c r="A129" s="10" t="s">
        <v>151</v>
      </c>
      <c r="B129" s="10"/>
      <c r="C129" s="11" t="s">
        <v>58</v>
      </c>
      <c r="D129" s="11" t="s">
        <v>65</v>
      </c>
      <c r="E129" s="11">
        <v>6.5294000000000005E-2</v>
      </c>
      <c r="F129" s="20">
        <v>44867</v>
      </c>
      <c r="G129" s="11">
        <v>0.97988425925925926</v>
      </c>
      <c r="H129" s="28">
        <v>26.751999999999999</v>
      </c>
      <c r="I129" s="15"/>
      <c r="J129" s="15" t="s">
        <v>26</v>
      </c>
      <c r="K129" s="16">
        <v>8.8127999999999993</v>
      </c>
      <c r="L129" s="16">
        <v>11.654500000000001</v>
      </c>
      <c r="M129" s="28">
        <v>27.550999999999998</v>
      </c>
      <c r="N129" s="15"/>
      <c r="O129" s="15" t="s">
        <v>26</v>
      </c>
      <c r="P129" s="16">
        <v>4.0437000000000003</v>
      </c>
      <c r="Q129" s="16">
        <v>18.726299999999998</v>
      </c>
      <c r="R129" s="14"/>
      <c r="S129" s="15"/>
      <c r="T129" s="15" t="s">
        <v>26</v>
      </c>
      <c r="U129" s="15"/>
      <c r="V129" s="16">
        <v>1.2035100000000001</v>
      </c>
      <c r="W129" s="28">
        <v>2.2267000000000001</v>
      </c>
      <c r="X129" s="15"/>
      <c r="Y129" s="15" t="s">
        <v>26</v>
      </c>
      <c r="Z129" s="16">
        <v>5.2112999999999996</v>
      </c>
      <c r="AA129" s="16">
        <v>2.4154100000000001</v>
      </c>
      <c r="AB129" s="28">
        <v>2.6857000000000002</v>
      </c>
      <c r="AC129" s="15"/>
      <c r="AD129" s="15" t="s">
        <v>26</v>
      </c>
      <c r="AE129" s="16">
        <v>0.27407999999999999</v>
      </c>
      <c r="AF129" s="16">
        <v>1.0729200000000001</v>
      </c>
      <c r="AG129" s="14"/>
      <c r="AH129" s="15"/>
      <c r="AI129" s="15" t="s">
        <v>26</v>
      </c>
      <c r="AJ129" s="15"/>
      <c r="AK129" s="16">
        <v>14.321199999999999</v>
      </c>
      <c r="AL129" s="28">
        <v>6.0381999999999998</v>
      </c>
      <c r="AM129" s="15"/>
      <c r="AN129" s="15" t="s">
        <v>26</v>
      </c>
      <c r="AO129" s="16">
        <v>0.62485999999999997</v>
      </c>
      <c r="AP129" s="16">
        <v>2.4417900000000001</v>
      </c>
      <c r="AQ129" s="28">
        <v>5.8296000000000001</v>
      </c>
      <c r="AR129" s="15"/>
      <c r="AS129" s="15" t="s">
        <v>26</v>
      </c>
      <c r="AT129" s="16">
        <v>1.8108</v>
      </c>
      <c r="AU129" s="16">
        <v>2.1543600000000001</v>
      </c>
      <c r="AV129" s="28">
        <v>22.57</v>
      </c>
      <c r="AW129" s="15"/>
      <c r="AX129" s="15" t="s">
        <v>26</v>
      </c>
      <c r="AY129" s="16">
        <v>9.6378000000000004</v>
      </c>
      <c r="AZ129" s="16">
        <v>16.008199999999999</v>
      </c>
      <c r="BA129" s="28">
        <v>0.87139999999999995</v>
      </c>
      <c r="BB129" s="15"/>
      <c r="BC129" s="15" t="s">
        <v>26</v>
      </c>
      <c r="BD129" s="16">
        <v>0.19214999999999999</v>
      </c>
      <c r="BE129" s="16">
        <v>0.868699</v>
      </c>
      <c r="BF129" s="28">
        <v>9.6443999999999992</v>
      </c>
      <c r="BG129" s="15"/>
      <c r="BH129" s="15" t="s">
        <v>26</v>
      </c>
      <c r="BI129" s="16">
        <v>2.5074000000000001</v>
      </c>
      <c r="BJ129" s="17">
        <v>13.9739</v>
      </c>
    </row>
    <row r="130" spans="1:62" ht="15" thickBot="1" x14ac:dyDescent="0.4"/>
    <row r="131" spans="1:62" ht="15" thickBot="1" x14ac:dyDescent="0.4">
      <c r="H131" s="13" t="s">
        <v>18</v>
      </c>
      <c r="I131" s="9" t="s">
        <v>24</v>
      </c>
      <c r="J131" s="9"/>
      <c r="K131" s="9"/>
      <c r="L131" s="9"/>
      <c r="M131" s="13" t="s">
        <v>1</v>
      </c>
      <c r="N131" s="9" t="s">
        <v>23</v>
      </c>
      <c r="O131" s="9"/>
      <c r="P131" s="9"/>
      <c r="Q131" s="9"/>
      <c r="R131" s="13" t="s">
        <v>2</v>
      </c>
      <c r="S131" s="9" t="s">
        <v>41</v>
      </c>
      <c r="T131" s="9"/>
      <c r="U131" s="9"/>
      <c r="V131" s="9"/>
      <c r="W131" s="13" t="s">
        <v>7</v>
      </c>
      <c r="X131" s="9" t="s">
        <v>50</v>
      </c>
      <c r="Y131" s="9"/>
      <c r="Z131" s="9"/>
      <c r="AA131" s="9"/>
      <c r="AB131" s="13" t="s">
        <v>16</v>
      </c>
      <c r="AC131" s="9" t="s">
        <v>51</v>
      </c>
      <c r="AD131" s="9"/>
      <c r="AE131" s="9"/>
      <c r="AF131" s="9"/>
      <c r="AG131" s="13" t="s">
        <v>17</v>
      </c>
      <c r="AH131" s="9" t="s">
        <v>52</v>
      </c>
      <c r="AI131" s="9"/>
      <c r="AJ131" s="9"/>
      <c r="AK131" s="9"/>
      <c r="AL131" s="13" t="s">
        <v>19</v>
      </c>
      <c r="AM131" s="9" t="s">
        <v>53</v>
      </c>
      <c r="AN131" s="9"/>
      <c r="AO131" s="9"/>
      <c r="AP131" s="9"/>
      <c r="AQ131" s="13" t="s">
        <v>21</v>
      </c>
      <c r="AR131" s="9" t="s">
        <v>54</v>
      </c>
      <c r="AS131" s="9"/>
      <c r="AT131" s="9"/>
      <c r="AU131" s="9"/>
      <c r="AV131" s="13" t="s">
        <v>56</v>
      </c>
      <c r="AW131" s="9" t="s">
        <v>57</v>
      </c>
      <c r="AX131" s="9"/>
      <c r="AY131" s="9"/>
      <c r="AZ131" s="9"/>
      <c r="BA131" s="13" t="s">
        <v>60</v>
      </c>
      <c r="BB131" s="9" t="s">
        <v>61</v>
      </c>
      <c r="BC131" s="9"/>
      <c r="BD131" s="9"/>
      <c r="BE131" s="9"/>
      <c r="BF131" s="13" t="s">
        <v>62</v>
      </c>
      <c r="BG131" s="9" t="s">
        <v>63</v>
      </c>
      <c r="BH131" s="9"/>
      <c r="BI131" s="9"/>
      <c r="BJ131" s="12"/>
    </row>
    <row r="132" spans="1:62" ht="15" thickBot="1" x14ac:dyDescent="0.4">
      <c r="A132" s="13" t="s">
        <v>30</v>
      </c>
      <c r="B132" s="13"/>
      <c r="C132" s="13" t="s">
        <v>29</v>
      </c>
      <c r="D132" s="13" t="s">
        <v>31</v>
      </c>
      <c r="E132" s="13" t="s">
        <v>43</v>
      </c>
      <c r="F132" s="13" t="s">
        <v>25</v>
      </c>
      <c r="G132" s="13" t="s">
        <v>28</v>
      </c>
      <c r="H132" s="13" t="s">
        <v>44</v>
      </c>
      <c r="I132" s="9" t="s">
        <v>45</v>
      </c>
      <c r="J132" s="9"/>
      <c r="K132" s="9" t="s">
        <v>46</v>
      </c>
      <c r="L132" s="9" t="s">
        <v>47</v>
      </c>
      <c r="M132" s="13" t="s">
        <v>44</v>
      </c>
      <c r="N132" s="9" t="s">
        <v>45</v>
      </c>
      <c r="O132" s="9"/>
      <c r="P132" s="9" t="s">
        <v>46</v>
      </c>
      <c r="Q132" s="9" t="s">
        <v>47</v>
      </c>
      <c r="R132" s="13" t="s">
        <v>44</v>
      </c>
      <c r="S132" s="9" t="s">
        <v>45</v>
      </c>
      <c r="T132" s="9"/>
      <c r="U132" s="9" t="s">
        <v>46</v>
      </c>
      <c r="V132" s="9" t="s">
        <v>47</v>
      </c>
      <c r="W132" s="13" t="s">
        <v>44</v>
      </c>
      <c r="X132" s="9" t="s">
        <v>45</v>
      </c>
      <c r="Y132" s="9"/>
      <c r="Z132" s="9" t="s">
        <v>46</v>
      </c>
      <c r="AA132" s="9" t="s">
        <v>47</v>
      </c>
      <c r="AB132" s="13" t="s">
        <v>44</v>
      </c>
      <c r="AC132" s="9" t="s">
        <v>45</v>
      </c>
      <c r="AD132" s="9"/>
      <c r="AE132" s="9" t="s">
        <v>46</v>
      </c>
      <c r="AF132" s="9" t="s">
        <v>47</v>
      </c>
      <c r="AG132" s="13" t="s">
        <v>44</v>
      </c>
      <c r="AH132" s="9" t="s">
        <v>45</v>
      </c>
      <c r="AI132" s="9"/>
      <c r="AJ132" s="9" t="s">
        <v>46</v>
      </c>
      <c r="AK132" s="9" t="s">
        <v>47</v>
      </c>
      <c r="AL132" s="13" t="s">
        <v>44</v>
      </c>
      <c r="AM132" s="9" t="s">
        <v>45</v>
      </c>
      <c r="AN132" s="9"/>
      <c r="AO132" s="9" t="s">
        <v>46</v>
      </c>
      <c r="AP132" s="9" t="s">
        <v>47</v>
      </c>
      <c r="AQ132" s="13" t="s">
        <v>44</v>
      </c>
      <c r="AR132" s="9" t="s">
        <v>45</v>
      </c>
      <c r="AS132" s="9"/>
      <c r="AT132" s="9" t="s">
        <v>46</v>
      </c>
      <c r="AU132" s="9" t="s">
        <v>47</v>
      </c>
      <c r="AV132" s="13" t="s">
        <v>44</v>
      </c>
      <c r="AW132" s="9" t="s">
        <v>45</v>
      </c>
      <c r="AX132" s="9"/>
      <c r="AY132" s="9" t="s">
        <v>46</v>
      </c>
      <c r="AZ132" s="9" t="s">
        <v>47</v>
      </c>
      <c r="BA132" s="13" t="s">
        <v>44</v>
      </c>
      <c r="BB132" s="9" t="s">
        <v>45</v>
      </c>
      <c r="BC132" s="9"/>
      <c r="BD132" s="9" t="s">
        <v>46</v>
      </c>
      <c r="BE132" s="9" t="s">
        <v>47</v>
      </c>
      <c r="BF132" s="13" t="s">
        <v>44</v>
      </c>
      <c r="BG132" s="9" t="s">
        <v>45</v>
      </c>
      <c r="BH132" s="9"/>
      <c r="BI132" s="9" t="s">
        <v>46</v>
      </c>
      <c r="BJ132" s="12" t="s">
        <v>47</v>
      </c>
    </row>
    <row r="133" spans="1:62" ht="15" thickBot="1" x14ac:dyDescent="0.4">
      <c r="A133" s="13" t="s">
        <v>87</v>
      </c>
      <c r="B133" s="13"/>
      <c r="C133" s="13" t="s">
        <v>152</v>
      </c>
      <c r="D133" s="13" t="s">
        <v>153</v>
      </c>
      <c r="E133" s="25">
        <v>6.4813999999999997E-2</v>
      </c>
      <c r="F133" s="21">
        <v>44831</v>
      </c>
      <c r="G133" s="13">
        <v>1.7662615740740739</v>
      </c>
      <c r="H133" s="25">
        <v>98.878</v>
      </c>
      <c r="I133" s="9"/>
      <c r="J133" s="9" t="s">
        <v>26</v>
      </c>
      <c r="K133" s="22">
        <v>21.129000000000001</v>
      </c>
      <c r="L133" s="9">
        <v>1.45</v>
      </c>
      <c r="M133" s="25">
        <v>26.52</v>
      </c>
      <c r="N133" s="9"/>
      <c r="O133" s="9" t="s">
        <v>26</v>
      </c>
      <c r="P133" s="22">
        <v>2.3340000000000001</v>
      </c>
      <c r="Q133" s="9">
        <v>1.82</v>
      </c>
      <c r="R133" s="13"/>
      <c r="S133" s="9"/>
      <c r="T133" s="9"/>
      <c r="U133" s="9" t="s">
        <v>49</v>
      </c>
      <c r="V133" s="22">
        <v>8.7958999999999996E-2</v>
      </c>
      <c r="W133" s="25">
        <v>6.0488999999999997</v>
      </c>
      <c r="X133" s="9"/>
      <c r="Y133" s="9" t="s">
        <v>26</v>
      </c>
      <c r="Z133" s="22">
        <v>0.69442000000000004</v>
      </c>
      <c r="AA133" s="9">
        <v>0.52480000000000004</v>
      </c>
      <c r="AB133" s="25">
        <v>4.3299000000000003</v>
      </c>
      <c r="AC133" s="9"/>
      <c r="AD133" s="9" t="s">
        <v>26</v>
      </c>
      <c r="AE133" s="22">
        <v>0.27589000000000002</v>
      </c>
      <c r="AF133" s="9">
        <v>0.20710000000000001</v>
      </c>
      <c r="AG133" s="25">
        <v>7.1192000000000002</v>
      </c>
      <c r="AH133" s="9"/>
      <c r="AI133" s="9" t="s">
        <v>26</v>
      </c>
      <c r="AJ133" s="22">
        <v>2.0787</v>
      </c>
      <c r="AK133" s="9">
        <v>1.831</v>
      </c>
      <c r="AL133" s="25">
        <v>13.965999999999999</v>
      </c>
      <c r="AM133" s="9"/>
      <c r="AN133" s="9" t="s">
        <v>26</v>
      </c>
      <c r="AO133" s="22">
        <v>0.71718999999999999</v>
      </c>
      <c r="AP133" s="9">
        <v>0.40060000000000001</v>
      </c>
      <c r="AQ133" s="25">
        <v>12.897</v>
      </c>
      <c r="AR133" s="9"/>
      <c r="AS133" s="9" t="s">
        <v>26</v>
      </c>
      <c r="AT133" s="22">
        <v>0.61628000000000005</v>
      </c>
      <c r="AU133" s="9">
        <v>0.3468</v>
      </c>
      <c r="AV133" s="25">
        <v>7.8278999999999996</v>
      </c>
      <c r="AW133" s="9"/>
      <c r="AX133" s="9" t="s">
        <v>26</v>
      </c>
      <c r="AY133" s="22">
        <v>3.3559999999999999</v>
      </c>
      <c r="AZ133" s="9">
        <v>2.798</v>
      </c>
      <c r="BA133" s="25">
        <v>2.2761999999999998</v>
      </c>
      <c r="BB133" s="9"/>
      <c r="BC133" s="9" t="s">
        <v>26</v>
      </c>
      <c r="BD133" s="22">
        <v>0.22411</v>
      </c>
      <c r="BE133" s="9">
        <v>0.1663</v>
      </c>
      <c r="BF133" s="25">
        <v>17.771999999999998</v>
      </c>
      <c r="BG133" s="9"/>
      <c r="BH133" s="9" t="s">
        <v>26</v>
      </c>
      <c r="BI133" s="22">
        <v>1.9233</v>
      </c>
      <c r="BJ133" s="12">
        <v>1.669</v>
      </c>
    </row>
    <row r="134" spans="1:62" ht="15" thickBot="1" x14ac:dyDescent="0.4">
      <c r="A134" s="13" t="s">
        <v>89</v>
      </c>
      <c r="B134" s="13"/>
      <c r="C134" s="13" t="s">
        <v>152</v>
      </c>
      <c r="D134" s="13" t="s">
        <v>153</v>
      </c>
      <c r="E134" s="25">
        <v>6.3771999999999995E-2</v>
      </c>
      <c r="F134" s="21">
        <v>44833</v>
      </c>
      <c r="G134" s="13">
        <v>1.1980324074074076</v>
      </c>
      <c r="H134" s="25">
        <v>94.554000000000002</v>
      </c>
      <c r="I134" s="9"/>
      <c r="J134" s="9" t="s">
        <v>26</v>
      </c>
      <c r="K134" s="22">
        <v>20.331</v>
      </c>
      <c r="L134" s="9">
        <v>1.929</v>
      </c>
      <c r="M134" s="25">
        <v>28.634</v>
      </c>
      <c r="N134" s="9"/>
      <c r="O134" s="9" t="s">
        <v>26</v>
      </c>
      <c r="P134" s="22">
        <v>2.6391</v>
      </c>
      <c r="Q134" s="9">
        <v>2.0950000000000002</v>
      </c>
      <c r="R134" s="13"/>
      <c r="S134" s="9"/>
      <c r="T134" s="9"/>
      <c r="U134" s="9" t="s">
        <v>49</v>
      </c>
      <c r="V134" s="22">
        <v>0.10718999999999999</v>
      </c>
      <c r="W134" s="25">
        <v>5.7206000000000001</v>
      </c>
      <c r="X134" s="9"/>
      <c r="Y134" s="9" t="s">
        <v>26</v>
      </c>
      <c r="Z134" s="22">
        <v>0.95108000000000004</v>
      </c>
      <c r="AA134" s="9">
        <v>0.70960000000000001</v>
      </c>
      <c r="AB134" s="25">
        <v>4.5876999999999999</v>
      </c>
      <c r="AC134" s="9"/>
      <c r="AD134" s="9" t="s">
        <v>26</v>
      </c>
      <c r="AE134" s="22">
        <v>0.31909999999999999</v>
      </c>
      <c r="AF134" s="9">
        <v>0.24890000000000001</v>
      </c>
      <c r="AG134" s="25">
        <v>9.8952000000000009</v>
      </c>
      <c r="AH134" s="9"/>
      <c r="AI134" s="9" t="s">
        <v>26</v>
      </c>
      <c r="AJ134" s="22">
        <v>2.3904000000000001</v>
      </c>
      <c r="AK134" s="9">
        <v>2.073</v>
      </c>
      <c r="AL134" s="25">
        <v>13.7</v>
      </c>
      <c r="AM134" s="9"/>
      <c r="AN134" s="9" t="s">
        <v>26</v>
      </c>
      <c r="AO134" s="22">
        <v>0.82532000000000005</v>
      </c>
      <c r="AP134" s="9">
        <v>0.495</v>
      </c>
      <c r="AQ134" s="25">
        <v>13.009</v>
      </c>
      <c r="AR134" s="9"/>
      <c r="AS134" s="9" t="s">
        <v>26</v>
      </c>
      <c r="AT134" s="22">
        <v>0.70525000000000004</v>
      </c>
      <c r="AU134" s="9">
        <v>0.4244</v>
      </c>
      <c r="AV134" s="25">
        <v>14.510999999999999</v>
      </c>
      <c r="AW134" s="9"/>
      <c r="AX134" s="9" t="s">
        <v>26</v>
      </c>
      <c r="AY134" s="22">
        <v>3.9683999999999999</v>
      </c>
      <c r="AZ134" s="9">
        <v>3.09</v>
      </c>
      <c r="BA134" s="25">
        <v>2.0865</v>
      </c>
      <c r="BB134" s="9"/>
      <c r="BC134" s="9" t="s">
        <v>26</v>
      </c>
      <c r="BD134" s="22">
        <v>0.30098000000000003</v>
      </c>
      <c r="BE134" s="9">
        <v>0.22739999999999999</v>
      </c>
      <c r="BF134" s="25">
        <v>17.643999999999998</v>
      </c>
      <c r="BG134" s="9"/>
      <c r="BH134" s="9" t="s">
        <v>26</v>
      </c>
      <c r="BI134" s="22">
        <v>2.5062000000000002</v>
      </c>
      <c r="BJ134" s="12">
        <v>2.1320000000000001</v>
      </c>
    </row>
    <row r="135" spans="1:62" ht="15" thickBot="1" x14ac:dyDescent="0.4">
      <c r="A135" s="13" t="s">
        <v>90</v>
      </c>
      <c r="B135" s="13"/>
      <c r="C135" s="13" t="s">
        <v>152</v>
      </c>
      <c r="D135" s="13" t="s">
        <v>153</v>
      </c>
      <c r="E135" s="25">
        <v>6.4829999999999999E-2</v>
      </c>
      <c r="F135" s="21">
        <v>44830</v>
      </c>
      <c r="G135" s="13">
        <v>1.0014930555555557</v>
      </c>
      <c r="H135" s="25">
        <v>76.89</v>
      </c>
      <c r="I135" s="9"/>
      <c r="J135" s="9" t="s">
        <v>26</v>
      </c>
      <c r="K135" s="22">
        <v>16.614999999999998</v>
      </c>
      <c r="L135" s="9">
        <v>2.2879999999999998</v>
      </c>
      <c r="M135" s="25">
        <v>36.292000000000002</v>
      </c>
      <c r="N135" s="9"/>
      <c r="O135" s="9" t="s">
        <v>26</v>
      </c>
      <c r="P135" s="22">
        <v>3.0043000000000002</v>
      </c>
      <c r="Q135" s="9">
        <v>2.2589999999999999</v>
      </c>
      <c r="R135" s="25">
        <v>0.21476999999999999</v>
      </c>
      <c r="S135" s="9"/>
      <c r="T135" s="9" t="s">
        <v>26</v>
      </c>
      <c r="U135" s="22">
        <v>0.17438999999999999</v>
      </c>
      <c r="V135" s="9">
        <v>0.1757</v>
      </c>
      <c r="W135" s="25">
        <v>6.8628</v>
      </c>
      <c r="X135" s="9"/>
      <c r="Y135" s="9" t="s">
        <v>26</v>
      </c>
      <c r="Z135" s="22">
        <v>0.97348999999999997</v>
      </c>
      <c r="AA135" s="9">
        <v>0.71609999999999996</v>
      </c>
      <c r="AB135" s="25">
        <v>4.6562999999999999</v>
      </c>
      <c r="AC135" s="9"/>
      <c r="AD135" s="9" t="s">
        <v>26</v>
      </c>
      <c r="AE135" s="22">
        <v>0.34155000000000002</v>
      </c>
      <c r="AF135" s="9">
        <v>0.27389999999999998</v>
      </c>
      <c r="AG135" s="25">
        <v>8.7296999999999993</v>
      </c>
      <c r="AH135" s="9"/>
      <c r="AI135" s="9" t="s">
        <v>26</v>
      </c>
      <c r="AJ135" s="22">
        <v>2.8024</v>
      </c>
      <c r="AK135" s="9">
        <v>2.407</v>
      </c>
      <c r="AL135" s="25">
        <v>13.779</v>
      </c>
      <c r="AM135" s="9"/>
      <c r="AN135" s="9" t="s">
        <v>26</v>
      </c>
      <c r="AO135" s="22">
        <v>0.82245999999999997</v>
      </c>
      <c r="AP135" s="9">
        <v>0.49780000000000002</v>
      </c>
      <c r="AQ135" s="25">
        <v>12.714</v>
      </c>
      <c r="AR135" s="9"/>
      <c r="AS135" s="9" t="s">
        <v>26</v>
      </c>
      <c r="AT135" s="22">
        <v>0.78747</v>
      </c>
      <c r="AU135" s="9">
        <v>0.48370000000000002</v>
      </c>
      <c r="AV135" s="25">
        <v>9.9832999999999998</v>
      </c>
      <c r="AW135" s="9"/>
      <c r="AX135" s="9" t="s">
        <v>26</v>
      </c>
      <c r="AY135" s="22">
        <v>4.6954000000000002</v>
      </c>
      <c r="AZ135" s="9">
        <v>3.9260000000000002</v>
      </c>
      <c r="BA135" s="25">
        <v>2.2206999999999999</v>
      </c>
      <c r="BB135" s="9"/>
      <c r="BC135" s="9" t="s">
        <v>26</v>
      </c>
      <c r="BD135" s="22">
        <v>0.28704000000000002</v>
      </c>
      <c r="BE135" s="9">
        <v>0.2261</v>
      </c>
      <c r="BF135" s="25">
        <v>17.338000000000001</v>
      </c>
      <c r="BG135" s="9"/>
      <c r="BH135" s="9" t="s">
        <v>26</v>
      </c>
      <c r="BI135" s="22">
        <v>2.3136999999999999</v>
      </c>
      <c r="BJ135" s="12">
        <v>2.0630000000000002</v>
      </c>
    </row>
    <row r="136" spans="1:62" ht="15" thickBot="1" x14ac:dyDescent="0.4">
      <c r="A136" s="13" t="s">
        <v>91</v>
      </c>
      <c r="B136" s="13"/>
      <c r="C136" s="13" t="s">
        <v>152</v>
      </c>
      <c r="D136" s="13" t="s">
        <v>153</v>
      </c>
      <c r="E136" s="25">
        <v>7.1568999999999994E-2</v>
      </c>
      <c r="F136" s="21">
        <v>44834</v>
      </c>
      <c r="G136" s="13">
        <v>3.6369675925925926</v>
      </c>
      <c r="H136" s="25">
        <v>94.891999999999996</v>
      </c>
      <c r="I136" s="9"/>
      <c r="J136" s="9" t="s">
        <v>26</v>
      </c>
      <c r="K136" s="22">
        <v>20.18</v>
      </c>
      <c r="L136" s="9">
        <v>0.94620000000000004</v>
      </c>
      <c r="M136" s="25">
        <v>18.379000000000001</v>
      </c>
      <c r="N136" s="9"/>
      <c r="O136" s="9" t="s">
        <v>26</v>
      </c>
      <c r="P136" s="22">
        <v>1.4367000000000001</v>
      </c>
      <c r="Q136" s="9">
        <v>1.127</v>
      </c>
      <c r="R136" s="13"/>
      <c r="S136" s="9"/>
      <c r="T136" s="9"/>
      <c r="U136" s="9" t="s">
        <v>49</v>
      </c>
      <c r="V136" s="22">
        <v>6.9001999999999994E-2</v>
      </c>
      <c r="W136" s="25">
        <v>2.9565999999999999</v>
      </c>
      <c r="X136" s="9"/>
      <c r="Y136" s="9" t="s">
        <v>26</v>
      </c>
      <c r="Z136" s="22">
        <v>0.35865999999999998</v>
      </c>
      <c r="AA136" s="9">
        <v>0.36020000000000002</v>
      </c>
      <c r="AB136" s="25">
        <v>4.0785999999999998</v>
      </c>
      <c r="AC136" s="9"/>
      <c r="AD136" s="9" t="s">
        <v>26</v>
      </c>
      <c r="AE136" s="22">
        <v>0.21445</v>
      </c>
      <c r="AF136" s="9">
        <v>0.1321</v>
      </c>
      <c r="AG136" s="25">
        <v>6.0435999999999996</v>
      </c>
      <c r="AH136" s="9"/>
      <c r="AI136" s="9" t="s">
        <v>26</v>
      </c>
      <c r="AJ136" s="22">
        <v>1.2130000000000001</v>
      </c>
      <c r="AK136" s="9">
        <v>1.095</v>
      </c>
      <c r="AL136" s="25">
        <v>12.445</v>
      </c>
      <c r="AM136" s="9"/>
      <c r="AN136" s="9" t="s">
        <v>26</v>
      </c>
      <c r="AO136" s="22">
        <v>0.503</v>
      </c>
      <c r="AP136" s="9">
        <v>0.2429</v>
      </c>
      <c r="AQ136" s="25">
        <v>11.622</v>
      </c>
      <c r="AR136" s="9"/>
      <c r="AS136" s="9" t="s">
        <v>26</v>
      </c>
      <c r="AT136" s="22">
        <v>0.46618999999999999</v>
      </c>
      <c r="AU136" s="9">
        <v>0.22670000000000001</v>
      </c>
      <c r="AV136" s="25">
        <v>10.271000000000001</v>
      </c>
      <c r="AW136" s="9"/>
      <c r="AX136" s="9" t="s">
        <v>26</v>
      </c>
      <c r="AY136" s="22">
        <v>2.0987</v>
      </c>
      <c r="AZ136" s="9">
        <v>1.7030000000000001</v>
      </c>
      <c r="BA136" s="25">
        <v>1.6980999999999999</v>
      </c>
      <c r="BB136" s="9"/>
      <c r="BC136" s="9" t="s">
        <v>26</v>
      </c>
      <c r="BD136" s="22">
        <v>0.15973999999999999</v>
      </c>
      <c r="BE136" s="9">
        <v>0.1166</v>
      </c>
      <c r="BF136" s="25">
        <v>15.129</v>
      </c>
      <c r="BG136" s="9"/>
      <c r="BH136" s="9" t="s">
        <v>26</v>
      </c>
      <c r="BI136" s="22">
        <v>1.2847999999999999</v>
      </c>
      <c r="BJ136" s="12">
        <v>1.0820000000000001</v>
      </c>
    </row>
    <row r="137" spans="1:62" ht="15" thickBot="1" x14ac:dyDescent="0.4">
      <c r="A137" s="13" t="s">
        <v>92</v>
      </c>
      <c r="B137" s="13"/>
      <c r="C137" s="13" t="s">
        <v>152</v>
      </c>
      <c r="D137" s="13" t="s">
        <v>153</v>
      </c>
      <c r="E137" s="25">
        <v>6.8999000000000005E-2</v>
      </c>
      <c r="F137" s="21">
        <v>44838</v>
      </c>
      <c r="G137" s="13">
        <v>1.0493634259259259</v>
      </c>
      <c r="H137" s="25">
        <v>89.525000000000006</v>
      </c>
      <c r="I137" s="9"/>
      <c r="J137" s="9" t="s">
        <v>26</v>
      </c>
      <c r="K137" s="22">
        <v>19.331</v>
      </c>
      <c r="L137" s="9">
        <v>2.0350000000000001</v>
      </c>
      <c r="M137" s="25">
        <v>29.273</v>
      </c>
      <c r="N137" s="9"/>
      <c r="O137" s="9" t="s">
        <v>26</v>
      </c>
      <c r="P137" s="22">
        <v>2.7877000000000001</v>
      </c>
      <c r="Q137" s="9">
        <v>2.1589999999999998</v>
      </c>
      <c r="R137" s="13"/>
      <c r="S137" s="9"/>
      <c r="T137" s="9"/>
      <c r="U137" s="9" t="s">
        <v>49</v>
      </c>
      <c r="V137" s="22">
        <v>9.8905000000000007E-2</v>
      </c>
      <c r="W137" s="25">
        <v>5.5430999999999999</v>
      </c>
      <c r="X137" s="9"/>
      <c r="Y137" s="9" t="s">
        <v>26</v>
      </c>
      <c r="Z137" s="22">
        <v>0.70150999999999997</v>
      </c>
      <c r="AA137" s="9">
        <v>0.54269999999999996</v>
      </c>
      <c r="AB137" s="25">
        <v>4.4212999999999996</v>
      </c>
      <c r="AC137" s="9"/>
      <c r="AD137" s="9" t="s">
        <v>26</v>
      </c>
      <c r="AE137" s="22">
        <v>0.312</v>
      </c>
      <c r="AF137" s="9">
        <v>0.2424</v>
      </c>
      <c r="AG137" s="13"/>
      <c r="AH137" s="9"/>
      <c r="AI137" s="9"/>
      <c r="AJ137" s="9" t="s">
        <v>49</v>
      </c>
      <c r="AK137" s="22">
        <v>1.2253000000000001</v>
      </c>
      <c r="AL137" s="25">
        <v>12.874000000000001</v>
      </c>
      <c r="AM137" s="9"/>
      <c r="AN137" s="9" t="s">
        <v>26</v>
      </c>
      <c r="AO137" s="22">
        <v>0.68144000000000005</v>
      </c>
      <c r="AP137" s="9">
        <v>0.38890000000000002</v>
      </c>
      <c r="AQ137" s="25">
        <v>11.874000000000001</v>
      </c>
      <c r="AR137" s="9"/>
      <c r="AS137" s="9" t="s">
        <v>26</v>
      </c>
      <c r="AT137" s="22">
        <v>0.65476000000000001</v>
      </c>
      <c r="AU137" s="9">
        <v>0.3947</v>
      </c>
      <c r="AV137" s="25">
        <v>13.289</v>
      </c>
      <c r="AW137" s="9"/>
      <c r="AX137" s="9" t="s">
        <v>26</v>
      </c>
      <c r="AY137" s="22">
        <v>4.0612000000000004</v>
      </c>
      <c r="AZ137" s="9">
        <v>3.1890000000000001</v>
      </c>
      <c r="BA137" s="25">
        <v>1.9818</v>
      </c>
      <c r="BB137" s="9"/>
      <c r="BC137" s="9" t="s">
        <v>26</v>
      </c>
      <c r="BD137" s="22">
        <v>0.24249999999999999</v>
      </c>
      <c r="BE137" s="9">
        <v>0.18809999999999999</v>
      </c>
      <c r="BF137" s="25">
        <v>19.358000000000001</v>
      </c>
      <c r="BG137" s="9"/>
      <c r="BH137" s="9" t="s">
        <v>26</v>
      </c>
      <c r="BI137" s="22">
        <v>2.4742000000000002</v>
      </c>
      <c r="BJ137" s="12">
        <v>2.117</v>
      </c>
    </row>
    <row r="138" spans="1:62" ht="15" thickBot="1" x14ac:dyDescent="0.4">
      <c r="A138" s="13" t="s">
        <v>93</v>
      </c>
      <c r="B138" s="13"/>
      <c r="C138" s="13" t="s">
        <v>152</v>
      </c>
      <c r="D138" s="13" t="s">
        <v>153</v>
      </c>
      <c r="E138" s="25">
        <v>6.7622000000000002E-2</v>
      </c>
      <c r="F138" s="21">
        <v>44839</v>
      </c>
      <c r="G138" s="13">
        <v>0.97563657407407411</v>
      </c>
      <c r="H138" s="25">
        <v>105.4</v>
      </c>
      <c r="I138" s="9"/>
      <c r="J138" s="9" t="s">
        <v>26</v>
      </c>
      <c r="K138" s="22">
        <v>22.61</v>
      </c>
      <c r="L138" s="9">
        <v>1.63</v>
      </c>
      <c r="M138" s="25">
        <v>33.723999999999997</v>
      </c>
      <c r="N138" s="9"/>
      <c r="O138" s="9" t="s">
        <v>26</v>
      </c>
      <c r="P138" s="22">
        <v>2.9824000000000002</v>
      </c>
      <c r="Q138" s="9">
        <v>2.2869999999999999</v>
      </c>
      <c r="R138" s="13"/>
      <c r="S138" s="9"/>
      <c r="T138" s="9"/>
      <c r="U138" s="9" t="s">
        <v>49</v>
      </c>
      <c r="V138" s="22">
        <v>0.15842999999999999</v>
      </c>
      <c r="W138" s="25">
        <v>4.8696999999999999</v>
      </c>
      <c r="X138" s="9"/>
      <c r="Y138" s="9" t="s">
        <v>26</v>
      </c>
      <c r="Z138" s="22">
        <v>0.85353000000000001</v>
      </c>
      <c r="AA138" s="9">
        <v>0.66420000000000001</v>
      </c>
      <c r="AB138" s="25">
        <v>4.5193000000000003</v>
      </c>
      <c r="AC138" s="9"/>
      <c r="AD138" s="9" t="s">
        <v>26</v>
      </c>
      <c r="AE138" s="22">
        <v>0.32579999999999998</v>
      </c>
      <c r="AF138" s="9">
        <v>0.25519999999999998</v>
      </c>
      <c r="AG138" s="25">
        <v>13.356</v>
      </c>
      <c r="AH138" s="9"/>
      <c r="AI138" s="9" t="s">
        <v>26</v>
      </c>
      <c r="AJ138" s="22">
        <v>2.9430999999999998</v>
      </c>
      <c r="AK138" s="9">
        <v>2.355</v>
      </c>
      <c r="AL138" s="25">
        <v>10.928000000000001</v>
      </c>
      <c r="AM138" s="9"/>
      <c r="AN138" s="9" t="s">
        <v>26</v>
      </c>
      <c r="AO138" s="22">
        <v>0.74556999999999995</v>
      </c>
      <c r="AP138" s="9">
        <v>0.47549999999999998</v>
      </c>
      <c r="AQ138" s="25">
        <v>10.319000000000001</v>
      </c>
      <c r="AR138" s="9"/>
      <c r="AS138" s="9" t="s">
        <v>26</v>
      </c>
      <c r="AT138" s="22">
        <v>0.67573000000000005</v>
      </c>
      <c r="AU138" s="9">
        <v>0.43840000000000001</v>
      </c>
      <c r="AV138" s="13"/>
      <c r="AW138" s="9"/>
      <c r="AX138" s="9"/>
      <c r="AY138" s="9" t="s">
        <v>49</v>
      </c>
      <c r="AZ138" s="22">
        <v>3.5451999999999999</v>
      </c>
      <c r="BA138" s="25">
        <v>2.2048000000000001</v>
      </c>
      <c r="BB138" s="9"/>
      <c r="BC138" s="9" t="s">
        <v>26</v>
      </c>
      <c r="BD138" s="22">
        <v>0.28619</v>
      </c>
      <c r="BE138" s="9">
        <v>0.2155</v>
      </c>
      <c r="BF138" s="25">
        <v>18.355</v>
      </c>
      <c r="BG138" s="9"/>
      <c r="BH138" s="9" t="s">
        <v>26</v>
      </c>
      <c r="BI138" s="22">
        <v>2.8138000000000001</v>
      </c>
      <c r="BJ138" s="12">
        <v>2.331</v>
      </c>
    </row>
    <row r="139" spans="1:62" ht="15" thickBot="1" x14ac:dyDescent="0.4">
      <c r="A139" s="13" t="s">
        <v>94</v>
      </c>
      <c r="B139" s="13"/>
      <c r="C139" s="13" t="s">
        <v>152</v>
      </c>
      <c r="D139" s="13" t="s">
        <v>153</v>
      </c>
      <c r="E139" s="25">
        <v>6.7485000000000003E-2</v>
      </c>
      <c r="F139" s="21">
        <v>44840</v>
      </c>
      <c r="G139" s="13">
        <v>0.98423611111111109</v>
      </c>
      <c r="H139" s="25">
        <v>100.65</v>
      </c>
      <c r="I139" s="9"/>
      <c r="J139" s="9" t="s">
        <v>26</v>
      </c>
      <c r="K139" s="22">
        <v>21.686</v>
      </c>
      <c r="L139" s="9">
        <v>2.1480000000000001</v>
      </c>
      <c r="M139" s="25">
        <v>26.652000000000001</v>
      </c>
      <c r="N139" s="9"/>
      <c r="O139" s="9" t="s">
        <v>26</v>
      </c>
      <c r="P139" s="22">
        <v>2.4430000000000001</v>
      </c>
      <c r="Q139" s="9">
        <v>2.0030000000000001</v>
      </c>
      <c r="R139" s="13"/>
      <c r="S139" s="9"/>
      <c r="T139" s="9"/>
      <c r="U139" s="9" t="s">
        <v>49</v>
      </c>
      <c r="V139" s="22">
        <v>0.11638999999999999</v>
      </c>
      <c r="W139" s="25">
        <v>5.4602000000000004</v>
      </c>
      <c r="X139" s="9"/>
      <c r="Y139" s="9" t="s">
        <v>26</v>
      </c>
      <c r="Z139" s="22">
        <v>0.69472</v>
      </c>
      <c r="AA139" s="9">
        <v>0.55020000000000002</v>
      </c>
      <c r="AB139" s="25">
        <v>4.4569999999999999</v>
      </c>
      <c r="AC139" s="9"/>
      <c r="AD139" s="9" t="s">
        <v>26</v>
      </c>
      <c r="AE139" s="22">
        <v>0.33055000000000001</v>
      </c>
      <c r="AF139" s="9">
        <v>0.26700000000000002</v>
      </c>
      <c r="AG139" s="13"/>
      <c r="AH139" s="9"/>
      <c r="AI139" s="9"/>
      <c r="AJ139" s="9" t="s">
        <v>49</v>
      </c>
      <c r="AK139" s="22">
        <v>1.3648</v>
      </c>
      <c r="AL139" s="25">
        <v>11.028</v>
      </c>
      <c r="AM139" s="9"/>
      <c r="AN139" s="9" t="s">
        <v>26</v>
      </c>
      <c r="AO139" s="22">
        <v>0.72765999999999997</v>
      </c>
      <c r="AP139" s="9">
        <v>0.46489999999999998</v>
      </c>
      <c r="AQ139" s="25">
        <v>10.333</v>
      </c>
      <c r="AR139" s="9"/>
      <c r="AS139" s="9" t="s">
        <v>26</v>
      </c>
      <c r="AT139" s="22">
        <v>0.60538000000000003</v>
      </c>
      <c r="AU139" s="9">
        <v>0.39550000000000002</v>
      </c>
      <c r="AV139" s="25">
        <v>11.238</v>
      </c>
      <c r="AW139" s="9"/>
      <c r="AX139" s="9" t="s">
        <v>26</v>
      </c>
      <c r="AY139" s="22">
        <v>3.9437000000000002</v>
      </c>
      <c r="AZ139" s="9">
        <v>3.1179999999999999</v>
      </c>
      <c r="BA139" s="25">
        <v>2.0156999999999998</v>
      </c>
      <c r="BB139" s="9"/>
      <c r="BC139" s="9" t="s">
        <v>26</v>
      </c>
      <c r="BD139" s="22">
        <v>0.2661</v>
      </c>
      <c r="BE139" s="9">
        <v>0.2094</v>
      </c>
      <c r="BF139" s="25">
        <v>17.242999999999999</v>
      </c>
      <c r="BG139" s="9"/>
      <c r="BH139" s="9" t="s">
        <v>26</v>
      </c>
      <c r="BI139" s="22">
        <v>2.4670000000000001</v>
      </c>
      <c r="BJ139" s="12">
        <v>2.153</v>
      </c>
    </row>
    <row r="140" spans="1:62" ht="15" thickBot="1" x14ac:dyDescent="0.4">
      <c r="A140" s="13" t="s">
        <v>95</v>
      </c>
      <c r="B140" s="13"/>
      <c r="C140" s="13" t="s">
        <v>152</v>
      </c>
      <c r="D140" s="13" t="s">
        <v>153</v>
      </c>
      <c r="E140" s="25">
        <v>7.0178000000000004E-2</v>
      </c>
      <c r="F140" s="21">
        <v>44841</v>
      </c>
      <c r="G140" s="13">
        <v>2.6540046296296298</v>
      </c>
      <c r="H140" s="25">
        <v>76.248999999999995</v>
      </c>
      <c r="I140" s="9"/>
      <c r="J140" s="9" t="s">
        <v>26</v>
      </c>
      <c r="K140" s="22">
        <v>16.286999999999999</v>
      </c>
      <c r="L140" s="9">
        <v>1.2090000000000001</v>
      </c>
      <c r="M140" s="25">
        <v>29.471</v>
      </c>
      <c r="N140" s="9"/>
      <c r="O140" s="9" t="s">
        <v>26</v>
      </c>
      <c r="P140" s="22">
        <v>1.8514999999999999</v>
      </c>
      <c r="Q140" s="9">
        <v>1.3580000000000001</v>
      </c>
      <c r="R140" s="13"/>
      <c r="S140" s="9"/>
      <c r="T140" s="9"/>
      <c r="U140" s="9" t="s">
        <v>49</v>
      </c>
      <c r="V140" s="22">
        <v>6.6943000000000003E-2</v>
      </c>
      <c r="W140" s="25">
        <v>5.2763</v>
      </c>
      <c r="X140" s="9"/>
      <c r="Y140" s="9" t="s">
        <v>26</v>
      </c>
      <c r="Z140" s="22">
        <v>0.50375999999999999</v>
      </c>
      <c r="AA140" s="9">
        <v>0.37759999999999999</v>
      </c>
      <c r="AB140" s="25">
        <v>4.2816999999999998</v>
      </c>
      <c r="AC140" s="9"/>
      <c r="AD140" s="9" t="s">
        <v>26</v>
      </c>
      <c r="AE140" s="22">
        <v>0.23612</v>
      </c>
      <c r="AF140" s="9">
        <v>0.15279999999999999</v>
      </c>
      <c r="AG140" s="25">
        <v>4.6879999999999997</v>
      </c>
      <c r="AH140" s="9"/>
      <c r="AI140" s="9" t="s">
        <v>26</v>
      </c>
      <c r="AJ140" s="22">
        <v>1.2306999999999999</v>
      </c>
      <c r="AK140" s="9">
        <v>1.19</v>
      </c>
      <c r="AL140" s="25">
        <v>13.673999999999999</v>
      </c>
      <c r="AM140" s="9"/>
      <c r="AN140" s="9" t="s">
        <v>26</v>
      </c>
      <c r="AO140" s="22">
        <v>0.60665000000000002</v>
      </c>
      <c r="AP140" s="9">
        <v>0.31109999999999999</v>
      </c>
      <c r="AQ140" s="25">
        <v>12.170999999999999</v>
      </c>
      <c r="AR140" s="9"/>
      <c r="AS140" s="9" t="s">
        <v>26</v>
      </c>
      <c r="AT140" s="22">
        <v>0.50844</v>
      </c>
      <c r="AU140" s="9">
        <v>0.25969999999999999</v>
      </c>
      <c r="AV140" s="25">
        <v>12.574999999999999</v>
      </c>
      <c r="AW140" s="9"/>
      <c r="AX140" s="9" t="s">
        <v>26</v>
      </c>
      <c r="AY140" s="22">
        <v>2.5708000000000002</v>
      </c>
      <c r="AZ140" s="9">
        <v>2.0640000000000001</v>
      </c>
      <c r="BA140" s="25">
        <v>1.7981</v>
      </c>
      <c r="BB140" s="9"/>
      <c r="BC140" s="9" t="s">
        <v>26</v>
      </c>
      <c r="BD140" s="22">
        <v>0.18714</v>
      </c>
      <c r="BE140" s="9">
        <v>0.1391</v>
      </c>
      <c r="BF140" s="25">
        <v>19.358000000000001</v>
      </c>
      <c r="BG140" s="9"/>
      <c r="BH140" s="9" t="s">
        <v>26</v>
      </c>
      <c r="BI140" s="22">
        <v>1.2663</v>
      </c>
      <c r="BJ140" s="12">
        <v>1.1659999999999999</v>
      </c>
    </row>
    <row r="141" spans="1:62" ht="15" thickBot="1" x14ac:dyDescent="0.4">
      <c r="A141" s="13" t="s">
        <v>96</v>
      </c>
      <c r="B141" s="13"/>
      <c r="C141" s="13" t="s">
        <v>152</v>
      </c>
      <c r="D141" s="13" t="s">
        <v>153</v>
      </c>
      <c r="E141" s="25">
        <v>7.2309999999999999E-2</v>
      </c>
      <c r="F141" s="21">
        <v>44844</v>
      </c>
      <c r="G141" s="13">
        <v>0.98848379629629635</v>
      </c>
      <c r="H141" s="13"/>
      <c r="I141" s="9"/>
      <c r="J141" s="9"/>
      <c r="K141" s="9" t="s">
        <v>49</v>
      </c>
      <c r="L141" s="22">
        <v>4.5019999999999998</v>
      </c>
      <c r="M141" s="25">
        <v>29.129000000000001</v>
      </c>
      <c r="N141" s="9"/>
      <c r="O141" s="9" t="s">
        <v>26</v>
      </c>
      <c r="P141" s="22">
        <v>2.7528000000000001</v>
      </c>
      <c r="Q141" s="9">
        <v>2.101</v>
      </c>
      <c r="R141" s="13"/>
      <c r="S141" s="9"/>
      <c r="T141" s="9"/>
      <c r="U141" s="9" t="s">
        <v>49</v>
      </c>
      <c r="V141" s="22">
        <v>0.10711</v>
      </c>
      <c r="W141" s="25">
        <v>5.2027000000000001</v>
      </c>
      <c r="X141" s="9"/>
      <c r="Y141" s="9" t="s">
        <v>26</v>
      </c>
      <c r="Z141" s="22">
        <v>0.81315000000000004</v>
      </c>
      <c r="AA141" s="9">
        <v>0.62139999999999995</v>
      </c>
      <c r="AB141" s="25">
        <v>3.8365</v>
      </c>
      <c r="AC141" s="9"/>
      <c r="AD141" s="9" t="s">
        <v>26</v>
      </c>
      <c r="AE141" s="22">
        <v>0.29751</v>
      </c>
      <c r="AF141" s="9">
        <v>0.24729999999999999</v>
      </c>
      <c r="AG141" s="25">
        <v>5.5477999999999996</v>
      </c>
      <c r="AH141" s="9"/>
      <c r="AI141" s="9" t="s">
        <v>26</v>
      </c>
      <c r="AJ141" s="22">
        <v>1.7012</v>
      </c>
      <c r="AK141" s="9">
        <v>1.6559999999999999</v>
      </c>
      <c r="AL141" s="25">
        <v>11.901999999999999</v>
      </c>
      <c r="AM141" s="9"/>
      <c r="AN141" s="9" t="s">
        <v>26</v>
      </c>
      <c r="AO141" s="22">
        <v>0.61033999999999999</v>
      </c>
      <c r="AP141" s="9">
        <v>0.39589999999999997</v>
      </c>
      <c r="AQ141" s="25">
        <v>12.177</v>
      </c>
      <c r="AR141" s="9"/>
      <c r="AS141" s="9" t="s">
        <v>26</v>
      </c>
      <c r="AT141" s="22">
        <v>0.67271000000000003</v>
      </c>
      <c r="AU141" s="9">
        <v>0.40739999999999998</v>
      </c>
      <c r="AV141" s="25">
        <v>14.555999999999999</v>
      </c>
      <c r="AW141" s="9"/>
      <c r="AX141" s="9" t="s">
        <v>26</v>
      </c>
      <c r="AY141" s="22">
        <v>4.1551</v>
      </c>
      <c r="AZ141" s="9">
        <v>3.2709999999999999</v>
      </c>
      <c r="BA141" s="25">
        <v>1.9268000000000001</v>
      </c>
      <c r="BB141" s="9"/>
      <c r="BC141" s="9" t="s">
        <v>26</v>
      </c>
      <c r="BD141" s="22">
        <v>0.26946999999999999</v>
      </c>
      <c r="BE141" s="9">
        <v>0.20419999999999999</v>
      </c>
      <c r="BF141" s="25">
        <v>16.103999999999999</v>
      </c>
      <c r="BG141" s="9"/>
      <c r="BH141" s="9" t="s">
        <v>26</v>
      </c>
      <c r="BI141" s="22">
        <v>2.4247000000000001</v>
      </c>
      <c r="BJ141" s="12">
        <v>2.0859999999999999</v>
      </c>
    </row>
    <row r="142" spans="1:62" ht="15" thickBot="1" x14ac:dyDescent="0.4">
      <c r="A142" s="13" t="s">
        <v>97</v>
      </c>
      <c r="B142" s="13"/>
      <c r="C142" s="13" t="s">
        <v>152</v>
      </c>
      <c r="D142" s="13" t="s">
        <v>153</v>
      </c>
      <c r="E142" s="25">
        <v>7.3118000000000002E-2</v>
      </c>
      <c r="F142" s="21">
        <v>44845</v>
      </c>
      <c r="G142" s="13">
        <v>1.1147337962962964</v>
      </c>
      <c r="H142" s="13"/>
      <c r="I142" s="9"/>
      <c r="J142" s="9"/>
      <c r="K142" s="9" t="s">
        <v>49</v>
      </c>
      <c r="L142" s="22">
        <v>3.8464</v>
      </c>
      <c r="M142" s="25">
        <v>30.114000000000001</v>
      </c>
      <c r="N142" s="9"/>
      <c r="O142" s="9" t="s">
        <v>26</v>
      </c>
      <c r="P142" s="22">
        <v>2.7128999999999999</v>
      </c>
      <c r="Q142" s="9">
        <v>2.0710000000000002</v>
      </c>
      <c r="R142" s="13"/>
      <c r="S142" s="9"/>
      <c r="T142" s="9"/>
      <c r="U142" s="9" t="s">
        <v>49</v>
      </c>
      <c r="V142" s="22">
        <v>0.10138</v>
      </c>
      <c r="W142" s="25">
        <v>5.3289</v>
      </c>
      <c r="X142" s="9"/>
      <c r="Y142" s="9" t="s">
        <v>26</v>
      </c>
      <c r="Z142" s="22">
        <v>0.74600999999999995</v>
      </c>
      <c r="AA142" s="9">
        <v>0.56859999999999999</v>
      </c>
      <c r="AB142" s="25">
        <v>3.9064999999999999</v>
      </c>
      <c r="AC142" s="9"/>
      <c r="AD142" s="9" t="s">
        <v>26</v>
      </c>
      <c r="AE142" s="22">
        <v>0.28666000000000003</v>
      </c>
      <c r="AF142" s="9">
        <v>0.2326</v>
      </c>
      <c r="AG142" s="13"/>
      <c r="AH142" s="9"/>
      <c r="AI142" s="9"/>
      <c r="AJ142" s="9" t="s">
        <v>49</v>
      </c>
      <c r="AK142" s="22">
        <v>1.1968000000000001</v>
      </c>
      <c r="AL142" s="25">
        <v>13.999000000000001</v>
      </c>
      <c r="AM142" s="9"/>
      <c r="AN142" s="9" t="s">
        <v>26</v>
      </c>
      <c r="AO142" s="22">
        <v>0.73843999999999999</v>
      </c>
      <c r="AP142" s="9">
        <v>0.41539999999999999</v>
      </c>
      <c r="AQ142" s="25">
        <v>12.746</v>
      </c>
      <c r="AR142" s="9"/>
      <c r="AS142" s="9" t="s">
        <v>26</v>
      </c>
      <c r="AT142" s="22">
        <v>0.63290000000000002</v>
      </c>
      <c r="AU142" s="9">
        <v>0.36480000000000001</v>
      </c>
      <c r="AV142" s="25">
        <v>13.368</v>
      </c>
      <c r="AW142" s="9"/>
      <c r="AX142" s="9" t="s">
        <v>26</v>
      </c>
      <c r="AY142" s="22">
        <v>3.7128999999999999</v>
      </c>
      <c r="AZ142" s="9">
        <v>2.875</v>
      </c>
      <c r="BA142" s="25">
        <v>2.2023999999999999</v>
      </c>
      <c r="BB142" s="9"/>
      <c r="BC142" s="9" t="s">
        <v>26</v>
      </c>
      <c r="BD142" s="22">
        <v>0.28720000000000001</v>
      </c>
      <c r="BE142" s="9">
        <v>0.20810000000000001</v>
      </c>
      <c r="BF142" s="25">
        <v>17.393000000000001</v>
      </c>
      <c r="BG142" s="9"/>
      <c r="BH142" s="9" t="s">
        <v>26</v>
      </c>
      <c r="BI142" s="22">
        <v>2.0474000000000001</v>
      </c>
      <c r="BJ142" s="12">
        <v>1.8069999999999999</v>
      </c>
    </row>
    <row r="143" spans="1:62" ht="15" thickBot="1" x14ac:dyDescent="0.4">
      <c r="A143" s="13" t="s">
        <v>98</v>
      </c>
      <c r="B143" s="13"/>
      <c r="C143" s="13" t="s">
        <v>152</v>
      </c>
      <c r="D143" s="13" t="s">
        <v>153</v>
      </c>
      <c r="E143" s="25">
        <v>7.3320999999999997E-2</v>
      </c>
      <c r="F143" s="21">
        <v>44846</v>
      </c>
      <c r="G143" s="13">
        <v>0.9838541666666667</v>
      </c>
      <c r="H143" s="25">
        <v>76.102999999999994</v>
      </c>
      <c r="I143" s="9"/>
      <c r="J143" s="9" t="s">
        <v>26</v>
      </c>
      <c r="K143" s="22">
        <v>16.507999999999999</v>
      </c>
      <c r="L143" s="9">
        <v>2.181</v>
      </c>
      <c r="M143" s="25">
        <v>40.250999999999998</v>
      </c>
      <c r="N143" s="9"/>
      <c r="O143" s="9" t="s">
        <v>26</v>
      </c>
      <c r="P143" s="22">
        <v>3.2197</v>
      </c>
      <c r="Q143" s="9">
        <v>2.4710000000000001</v>
      </c>
      <c r="R143" s="13"/>
      <c r="S143" s="9"/>
      <c r="T143" s="9"/>
      <c r="U143" s="9" t="s">
        <v>49</v>
      </c>
      <c r="V143" s="22">
        <v>0.1236</v>
      </c>
      <c r="W143" s="25">
        <v>8.6075999999999997</v>
      </c>
      <c r="X143" s="9"/>
      <c r="Y143" s="9" t="s">
        <v>26</v>
      </c>
      <c r="Z143" s="22">
        <v>0.96067000000000002</v>
      </c>
      <c r="AA143" s="9">
        <v>0.69740000000000002</v>
      </c>
      <c r="AB143" s="25">
        <v>9.3450000000000006</v>
      </c>
      <c r="AC143" s="9"/>
      <c r="AD143" s="9" t="s">
        <v>26</v>
      </c>
      <c r="AE143" s="22">
        <v>0.49809999999999999</v>
      </c>
      <c r="AF143" s="9">
        <v>0.27929999999999999</v>
      </c>
      <c r="AG143" s="25">
        <v>7.3137999999999996</v>
      </c>
      <c r="AH143" s="9"/>
      <c r="AI143" s="9" t="s">
        <v>26</v>
      </c>
      <c r="AJ143" s="22">
        <v>1.9248000000000001</v>
      </c>
      <c r="AK143" s="9">
        <v>1.897</v>
      </c>
      <c r="AL143" s="25">
        <v>54.484999999999999</v>
      </c>
      <c r="AM143" s="9"/>
      <c r="AN143" s="9" t="s">
        <v>26</v>
      </c>
      <c r="AO143" s="22">
        <v>1.9144000000000001</v>
      </c>
      <c r="AP143" s="9">
        <v>0.5534</v>
      </c>
      <c r="AQ143" s="25">
        <v>49.973999999999997</v>
      </c>
      <c r="AR143" s="9"/>
      <c r="AS143" s="9" t="s">
        <v>26</v>
      </c>
      <c r="AT143" s="22">
        <v>1.69</v>
      </c>
      <c r="AU143" s="9">
        <v>0.4738</v>
      </c>
      <c r="AV143" s="25">
        <v>52.529000000000003</v>
      </c>
      <c r="AW143" s="9"/>
      <c r="AX143" s="9" t="s">
        <v>26</v>
      </c>
      <c r="AY143" s="22">
        <v>5.7511999999999999</v>
      </c>
      <c r="AZ143" s="9">
        <v>3.9809999999999999</v>
      </c>
      <c r="BA143" s="25">
        <v>3.5451999999999999</v>
      </c>
      <c r="BB143" s="9"/>
      <c r="BC143" s="9" t="s">
        <v>26</v>
      </c>
      <c r="BD143" s="22">
        <v>0.35947000000000001</v>
      </c>
      <c r="BE143" s="9">
        <v>0.24990000000000001</v>
      </c>
      <c r="BF143" s="25">
        <v>16.172999999999998</v>
      </c>
      <c r="BG143" s="9"/>
      <c r="BH143" s="9" t="s">
        <v>26</v>
      </c>
      <c r="BI143" s="22">
        <v>3.0798000000000001</v>
      </c>
      <c r="BJ143" s="12">
        <v>2.7629999999999999</v>
      </c>
    </row>
    <row r="144" spans="1:62" ht="15" thickBot="1" x14ac:dyDescent="0.4">
      <c r="A144" s="13" t="s">
        <v>99</v>
      </c>
      <c r="B144" s="13"/>
      <c r="C144" s="13" t="s">
        <v>152</v>
      </c>
      <c r="D144" s="13" t="s">
        <v>153</v>
      </c>
      <c r="E144" s="25">
        <v>6.6198999999999994E-2</v>
      </c>
      <c r="F144" s="21">
        <v>44847</v>
      </c>
      <c r="G144" s="13">
        <v>0.97263888888888872</v>
      </c>
      <c r="H144" s="25">
        <v>70.599000000000004</v>
      </c>
      <c r="I144" s="9"/>
      <c r="J144" s="9" t="s">
        <v>26</v>
      </c>
      <c r="K144" s="22">
        <v>15.359</v>
      </c>
      <c r="L144" s="9">
        <v>2.0619999999999998</v>
      </c>
      <c r="M144" s="25">
        <v>27.635999999999999</v>
      </c>
      <c r="N144" s="9"/>
      <c r="O144" s="9" t="s">
        <v>26</v>
      </c>
      <c r="P144" s="22">
        <v>3.1271</v>
      </c>
      <c r="Q144" s="9">
        <v>2.4500000000000002</v>
      </c>
      <c r="R144" s="13"/>
      <c r="S144" s="9"/>
      <c r="T144" s="9"/>
      <c r="U144" s="9" t="s">
        <v>49</v>
      </c>
      <c r="V144" s="22">
        <v>0.12096</v>
      </c>
      <c r="W144" s="25">
        <v>6.3714000000000004</v>
      </c>
      <c r="X144" s="9"/>
      <c r="Y144" s="9" t="s">
        <v>26</v>
      </c>
      <c r="Z144" s="22">
        <v>0.93706999999999996</v>
      </c>
      <c r="AA144" s="9">
        <v>0.69479999999999997</v>
      </c>
      <c r="AB144" s="25">
        <v>3.8254000000000001</v>
      </c>
      <c r="AC144" s="9"/>
      <c r="AD144" s="9" t="s">
        <v>26</v>
      </c>
      <c r="AE144" s="22">
        <v>0.31839000000000001</v>
      </c>
      <c r="AF144" s="9">
        <v>0.2757</v>
      </c>
      <c r="AG144" s="13"/>
      <c r="AH144" s="9"/>
      <c r="AI144" s="9"/>
      <c r="AJ144" s="9" t="s">
        <v>49</v>
      </c>
      <c r="AK144" s="22">
        <v>1.4152</v>
      </c>
      <c r="AL144" s="25">
        <v>15.682</v>
      </c>
      <c r="AM144" s="9"/>
      <c r="AN144" s="9" t="s">
        <v>26</v>
      </c>
      <c r="AO144" s="22">
        <v>0.80012000000000005</v>
      </c>
      <c r="AP144" s="9">
        <v>0.4375</v>
      </c>
      <c r="AQ144" s="25">
        <v>14.78</v>
      </c>
      <c r="AR144" s="9"/>
      <c r="AS144" s="9" t="s">
        <v>26</v>
      </c>
      <c r="AT144" s="22">
        <v>0.78607000000000005</v>
      </c>
      <c r="AU144" s="9">
        <v>0.45340000000000003</v>
      </c>
      <c r="AV144" s="25">
        <v>10.788</v>
      </c>
      <c r="AW144" s="9"/>
      <c r="AX144" s="9" t="s">
        <v>26</v>
      </c>
      <c r="AY144" s="22">
        <v>4.2503000000000002</v>
      </c>
      <c r="AZ144" s="9">
        <v>3.335</v>
      </c>
      <c r="BA144" s="25">
        <v>2.1417999999999999</v>
      </c>
      <c r="BB144" s="9"/>
      <c r="BC144" s="9" t="s">
        <v>26</v>
      </c>
      <c r="BD144" s="22">
        <v>0.31304999999999999</v>
      </c>
      <c r="BE144" s="9">
        <v>0.23449999999999999</v>
      </c>
      <c r="BF144" s="25">
        <v>14.061999999999999</v>
      </c>
      <c r="BG144" s="9"/>
      <c r="BH144" s="9" t="s">
        <v>26</v>
      </c>
      <c r="BI144" s="22">
        <v>2.7665999999999999</v>
      </c>
      <c r="BJ144" s="12">
        <v>2.41</v>
      </c>
    </row>
    <row r="145" spans="1:62" ht="15" thickBot="1" x14ac:dyDescent="0.4">
      <c r="A145" s="13" t="s">
        <v>100</v>
      </c>
      <c r="B145" s="13"/>
      <c r="C145" s="13" t="s">
        <v>152</v>
      </c>
      <c r="D145" s="13" t="s">
        <v>153</v>
      </c>
      <c r="E145" s="25">
        <v>6.4327999999999996E-2</v>
      </c>
      <c r="F145" s="21">
        <v>44848</v>
      </c>
      <c r="G145" s="13">
        <v>2.6440393518518515</v>
      </c>
      <c r="H145" s="25">
        <v>95.525999999999996</v>
      </c>
      <c r="I145" s="9"/>
      <c r="J145" s="9" t="s">
        <v>26</v>
      </c>
      <c r="K145" s="22">
        <v>20.385000000000002</v>
      </c>
      <c r="L145" s="9">
        <v>1.3819999999999999</v>
      </c>
      <c r="M145" s="25">
        <v>28.677</v>
      </c>
      <c r="N145" s="9"/>
      <c r="O145" s="9" t="s">
        <v>26</v>
      </c>
      <c r="P145" s="22">
        <v>1.9834000000000001</v>
      </c>
      <c r="Q145" s="9">
        <v>1.4750000000000001</v>
      </c>
      <c r="R145" s="13"/>
      <c r="S145" s="9"/>
      <c r="T145" s="9"/>
      <c r="U145" s="9" t="s">
        <v>49</v>
      </c>
      <c r="V145" s="22">
        <v>7.2016999999999998E-2</v>
      </c>
      <c r="W145" s="25">
        <v>5.3179999999999996</v>
      </c>
      <c r="X145" s="9"/>
      <c r="Y145" s="9" t="s">
        <v>26</v>
      </c>
      <c r="Z145" s="22">
        <v>0.56301000000000001</v>
      </c>
      <c r="AA145" s="9">
        <v>0.42909999999999998</v>
      </c>
      <c r="AB145" s="25">
        <v>4.6031000000000004</v>
      </c>
      <c r="AC145" s="9"/>
      <c r="AD145" s="9" t="s">
        <v>26</v>
      </c>
      <c r="AE145" s="22">
        <v>0.25505</v>
      </c>
      <c r="AF145" s="9">
        <v>0.1661</v>
      </c>
      <c r="AG145" s="25">
        <v>6.9770000000000003</v>
      </c>
      <c r="AH145" s="9"/>
      <c r="AI145" s="9" t="s">
        <v>26</v>
      </c>
      <c r="AJ145" s="22">
        <v>1.6036999999999999</v>
      </c>
      <c r="AK145" s="9">
        <v>1.425</v>
      </c>
      <c r="AL145" s="25">
        <v>11.911</v>
      </c>
      <c r="AM145" s="9"/>
      <c r="AN145" s="9" t="s">
        <v>26</v>
      </c>
      <c r="AO145" s="22">
        <v>0.56318999999999997</v>
      </c>
      <c r="AP145" s="9">
        <v>0.31340000000000001</v>
      </c>
      <c r="AQ145" s="25">
        <v>11.013</v>
      </c>
      <c r="AR145" s="9"/>
      <c r="AS145" s="9" t="s">
        <v>26</v>
      </c>
      <c r="AT145" s="22">
        <v>0.47688000000000003</v>
      </c>
      <c r="AU145" s="9">
        <v>0.2606</v>
      </c>
      <c r="AV145" s="25">
        <v>10.087</v>
      </c>
      <c r="AW145" s="9"/>
      <c r="AX145" s="9" t="s">
        <v>26</v>
      </c>
      <c r="AY145" s="22">
        <v>2.7422</v>
      </c>
      <c r="AZ145" s="9">
        <v>2.2549999999999999</v>
      </c>
      <c r="BA145" s="25">
        <v>2.0257999999999998</v>
      </c>
      <c r="BB145" s="9"/>
      <c r="BC145" s="9" t="s">
        <v>26</v>
      </c>
      <c r="BD145" s="22">
        <v>0.21868000000000001</v>
      </c>
      <c r="BE145" s="9">
        <v>0.15809999999999999</v>
      </c>
      <c r="BF145" s="25">
        <v>14.224</v>
      </c>
      <c r="BG145" s="9"/>
      <c r="BH145" s="9" t="s">
        <v>26</v>
      </c>
      <c r="BI145" s="22">
        <v>1.2556</v>
      </c>
      <c r="BJ145" s="12">
        <v>1.2629999999999999</v>
      </c>
    </row>
    <row r="146" spans="1:62" ht="15" thickBot="1" x14ac:dyDescent="0.4">
      <c r="A146" s="13" t="s">
        <v>101</v>
      </c>
      <c r="B146" s="13"/>
      <c r="C146" s="13" t="s">
        <v>152</v>
      </c>
      <c r="D146" s="13" t="s">
        <v>153</v>
      </c>
      <c r="E146" s="25">
        <v>6.6567000000000001E-2</v>
      </c>
      <c r="F146" s="21">
        <v>44852</v>
      </c>
      <c r="G146" s="13">
        <v>0.99539351851851843</v>
      </c>
      <c r="H146" s="13"/>
      <c r="I146" s="9"/>
      <c r="J146" s="9"/>
      <c r="K146" s="9" t="s">
        <v>49</v>
      </c>
      <c r="L146" s="22">
        <v>4.6258999999999997</v>
      </c>
      <c r="M146" s="25">
        <v>26.155000000000001</v>
      </c>
      <c r="N146" s="9"/>
      <c r="O146" s="9" t="s">
        <v>26</v>
      </c>
      <c r="P146" s="22">
        <v>2.7681</v>
      </c>
      <c r="Q146" s="9">
        <v>2.2170000000000001</v>
      </c>
      <c r="R146" s="13"/>
      <c r="S146" s="9"/>
      <c r="T146" s="9"/>
      <c r="U146" s="9" t="s">
        <v>49</v>
      </c>
      <c r="V146" s="22">
        <v>0.11525000000000001</v>
      </c>
      <c r="W146" s="25">
        <v>5.3914</v>
      </c>
      <c r="X146" s="9"/>
      <c r="Y146" s="9" t="s">
        <v>26</v>
      </c>
      <c r="Z146" s="22">
        <v>1.0005999999999999</v>
      </c>
      <c r="AA146" s="9">
        <v>0.75309999999999999</v>
      </c>
      <c r="AB146" s="25">
        <v>4.5739000000000001</v>
      </c>
      <c r="AC146" s="9"/>
      <c r="AD146" s="9" t="s">
        <v>26</v>
      </c>
      <c r="AE146" s="22">
        <v>0.33084999999999998</v>
      </c>
      <c r="AF146" s="9">
        <v>0.26129999999999998</v>
      </c>
      <c r="AG146" s="25">
        <v>12.567</v>
      </c>
      <c r="AH146" s="9"/>
      <c r="AI146" s="9" t="s">
        <v>26</v>
      </c>
      <c r="AJ146" s="22">
        <v>2.6919</v>
      </c>
      <c r="AK146" s="9">
        <v>2.2120000000000002</v>
      </c>
      <c r="AL146" s="25">
        <v>13.224</v>
      </c>
      <c r="AM146" s="9"/>
      <c r="AN146" s="9" t="s">
        <v>26</v>
      </c>
      <c r="AO146" s="22">
        <v>0.83384000000000003</v>
      </c>
      <c r="AP146" s="9">
        <v>0.50919999999999999</v>
      </c>
      <c r="AQ146" s="25">
        <v>12.154999999999999</v>
      </c>
      <c r="AR146" s="9"/>
      <c r="AS146" s="9" t="s">
        <v>26</v>
      </c>
      <c r="AT146" s="22">
        <v>0.78944000000000003</v>
      </c>
      <c r="AU146" s="9">
        <v>0.48549999999999999</v>
      </c>
      <c r="AV146" s="25">
        <v>12.856</v>
      </c>
      <c r="AW146" s="9"/>
      <c r="AX146" s="9" t="s">
        <v>26</v>
      </c>
      <c r="AY146" s="22">
        <v>4.0754000000000001</v>
      </c>
      <c r="AZ146" s="9">
        <v>3.0910000000000002</v>
      </c>
      <c r="BA146" s="25">
        <v>2.2193000000000001</v>
      </c>
      <c r="BB146" s="9"/>
      <c r="BC146" s="9" t="s">
        <v>26</v>
      </c>
      <c r="BD146" s="22">
        <v>0.34902</v>
      </c>
      <c r="BE146" s="9">
        <v>0.25559999999999999</v>
      </c>
      <c r="BF146" s="25">
        <v>14.125</v>
      </c>
      <c r="BG146" s="9"/>
      <c r="BH146" s="9" t="s">
        <v>26</v>
      </c>
      <c r="BI146" s="22">
        <v>2.4125000000000001</v>
      </c>
      <c r="BJ146" s="12">
        <v>2.1669999999999998</v>
      </c>
    </row>
    <row r="147" spans="1:62" ht="15" thickBot="1" x14ac:dyDescent="0.4">
      <c r="A147" s="13" t="s">
        <v>102</v>
      </c>
      <c r="B147" s="13"/>
      <c r="C147" s="13" t="s">
        <v>152</v>
      </c>
      <c r="D147" s="13" t="s">
        <v>153</v>
      </c>
      <c r="E147" s="25">
        <v>6.3500000000000001E-2</v>
      </c>
      <c r="F147" s="21">
        <v>44852</v>
      </c>
      <c r="G147" s="13">
        <v>1.0737731481481483</v>
      </c>
      <c r="H147" s="25">
        <v>61.311999999999998</v>
      </c>
      <c r="I147" s="9"/>
      <c r="J147" s="9" t="s">
        <v>26</v>
      </c>
      <c r="K147" s="22">
        <v>13.436999999999999</v>
      </c>
      <c r="L147" s="9">
        <v>2.0920000000000001</v>
      </c>
      <c r="M147" s="25">
        <v>45.509</v>
      </c>
      <c r="N147" s="9"/>
      <c r="O147" s="9" t="s">
        <v>26</v>
      </c>
      <c r="P147" s="22">
        <v>3.5156999999999998</v>
      </c>
      <c r="Q147" s="9">
        <v>2.4500000000000002</v>
      </c>
      <c r="R147" s="13"/>
      <c r="S147" s="9"/>
      <c r="T147" s="9"/>
      <c r="U147" s="9" t="s">
        <v>49</v>
      </c>
      <c r="V147" s="22">
        <v>0.11494</v>
      </c>
      <c r="W147" s="25">
        <v>5.7973999999999997</v>
      </c>
      <c r="X147" s="9"/>
      <c r="Y147" s="9" t="s">
        <v>26</v>
      </c>
      <c r="Z147" s="22">
        <v>0.88644000000000001</v>
      </c>
      <c r="AA147" s="9">
        <v>0.67</v>
      </c>
      <c r="AB147" s="25">
        <v>3.1339000000000001</v>
      </c>
      <c r="AC147" s="9"/>
      <c r="AD147" s="9" t="s">
        <v>26</v>
      </c>
      <c r="AE147" s="22">
        <v>0.28982999999999998</v>
      </c>
      <c r="AF147" s="9">
        <v>0.26400000000000001</v>
      </c>
      <c r="AG147" s="25">
        <v>9.3323999999999998</v>
      </c>
      <c r="AH147" s="9"/>
      <c r="AI147" s="9" t="s">
        <v>26</v>
      </c>
      <c r="AJ147" s="22">
        <v>2.8574000000000002</v>
      </c>
      <c r="AK147" s="9">
        <v>2.3660000000000001</v>
      </c>
      <c r="AL147" s="25">
        <v>12.787000000000001</v>
      </c>
      <c r="AM147" s="9"/>
      <c r="AN147" s="9" t="s">
        <v>26</v>
      </c>
      <c r="AO147" s="22">
        <v>0.73736000000000002</v>
      </c>
      <c r="AP147" s="9">
        <v>0.44650000000000001</v>
      </c>
      <c r="AQ147" s="25">
        <v>11.144</v>
      </c>
      <c r="AR147" s="9"/>
      <c r="AS147" s="9" t="s">
        <v>26</v>
      </c>
      <c r="AT147" s="22">
        <v>0.59152000000000005</v>
      </c>
      <c r="AU147" s="9">
        <v>0.36149999999999999</v>
      </c>
      <c r="AV147" s="25">
        <v>11.292999999999999</v>
      </c>
      <c r="AW147" s="9"/>
      <c r="AX147" s="9" t="s">
        <v>26</v>
      </c>
      <c r="AY147" s="22">
        <v>4.1180000000000003</v>
      </c>
      <c r="AZ147" s="9">
        <v>3.2330000000000001</v>
      </c>
      <c r="BA147" s="25">
        <v>1.7343999999999999</v>
      </c>
      <c r="BB147" s="9"/>
      <c r="BC147" s="9" t="s">
        <v>26</v>
      </c>
      <c r="BD147" s="22">
        <v>0.23923</v>
      </c>
      <c r="BE147" s="9">
        <v>0.1956</v>
      </c>
      <c r="BF147" s="25">
        <v>16.265999999999998</v>
      </c>
      <c r="BG147" s="9"/>
      <c r="BH147" s="9" t="s">
        <v>26</v>
      </c>
      <c r="BI147" s="22">
        <v>2.0621999999999998</v>
      </c>
      <c r="BJ147" s="12">
        <v>1.8879999999999999</v>
      </c>
    </row>
    <row r="148" spans="1:62" ht="15" thickBot="1" x14ac:dyDescent="0.4">
      <c r="A148" s="13" t="s">
        <v>103</v>
      </c>
      <c r="B148" s="13"/>
      <c r="C148" s="13" t="s">
        <v>152</v>
      </c>
      <c r="D148" s="13" t="s">
        <v>153</v>
      </c>
      <c r="E148" s="25">
        <v>6.2361E-2</v>
      </c>
      <c r="F148" s="21">
        <v>44853</v>
      </c>
      <c r="G148" s="13">
        <v>1.0031828703703705</v>
      </c>
      <c r="H148" s="25">
        <v>67.608000000000004</v>
      </c>
      <c r="I148" s="9"/>
      <c r="J148" s="9" t="s">
        <v>26</v>
      </c>
      <c r="K148" s="22">
        <v>14.795999999999999</v>
      </c>
      <c r="L148" s="9">
        <v>2.2360000000000002</v>
      </c>
      <c r="M148" s="25">
        <v>47.113999999999997</v>
      </c>
      <c r="N148" s="9"/>
      <c r="O148" s="9" t="s">
        <v>26</v>
      </c>
      <c r="P148" s="22">
        <v>3.5695000000000001</v>
      </c>
      <c r="Q148" s="9">
        <v>2.4980000000000002</v>
      </c>
      <c r="R148" s="13"/>
      <c r="S148" s="9"/>
      <c r="T148" s="9"/>
      <c r="U148" s="9" t="s">
        <v>49</v>
      </c>
      <c r="V148" s="22">
        <v>0.11717</v>
      </c>
      <c r="W148" s="25">
        <v>4.4225000000000003</v>
      </c>
      <c r="X148" s="9"/>
      <c r="Y148" s="9" t="s">
        <v>26</v>
      </c>
      <c r="Z148" s="22">
        <v>0.83211000000000002</v>
      </c>
      <c r="AA148" s="9">
        <v>0.68469999999999998</v>
      </c>
      <c r="AB148" s="25">
        <v>4.1351000000000004</v>
      </c>
      <c r="AC148" s="9"/>
      <c r="AD148" s="9" t="s">
        <v>26</v>
      </c>
      <c r="AE148" s="22">
        <v>0.32038</v>
      </c>
      <c r="AF148" s="9">
        <v>0.26269999999999999</v>
      </c>
      <c r="AG148" s="13"/>
      <c r="AH148" s="9"/>
      <c r="AI148" s="9"/>
      <c r="AJ148" s="9" t="s">
        <v>49</v>
      </c>
      <c r="AK148" s="22">
        <v>1.3867</v>
      </c>
      <c r="AL148" s="25">
        <v>12.452999999999999</v>
      </c>
      <c r="AM148" s="9"/>
      <c r="AN148" s="9" t="s">
        <v>26</v>
      </c>
      <c r="AO148" s="22">
        <v>0.70128999999999997</v>
      </c>
      <c r="AP148" s="9">
        <v>0.42499999999999999</v>
      </c>
      <c r="AQ148" s="25">
        <v>12.803000000000001</v>
      </c>
      <c r="AR148" s="9"/>
      <c r="AS148" s="9" t="s">
        <v>26</v>
      </c>
      <c r="AT148" s="22">
        <v>0.72850999999999999</v>
      </c>
      <c r="AU148" s="9">
        <v>0.43940000000000001</v>
      </c>
      <c r="AV148" s="25">
        <v>8.298</v>
      </c>
      <c r="AW148" s="9"/>
      <c r="AX148" s="9" t="s">
        <v>26</v>
      </c>
      <c r="AY148" s="22">
        <v>4.6115000000000004</v>
      </c>
      <c r="AZ148" s="9">
        <v>3.7549999999999999</v>
      </c>
      <c r="BA148" s="25">
        <v>2.0251000000000001</v>
      </c>
      <c r="BB148" s="9"/>
      <c r="BC148" s="9" t="s">
        <v>26</v>
      </c>
      <c r="BD148" s="22">
        <v>0.31895000000000001</v>
      </c>
      <c r="BE148" s="9">
        <v>0.24340000000000001</v>
      </c>
      <c r="BF148" s="25">
        <v>19.881</v>
      </c>
      <c r="BG148" s="9"/>
      <c r="BH148" s="9" t="s">
        <v>26</v>
      </c>
      <c r="BI148" s="22">
        <v>2.4177</v>
      </c>
      <c r="BJ148" s="12">
        <v>2.1</v>
      </c>
    </row>
    <row r="149" spans="1:62" ht="15" thickBot="1" x14ac:dyDescent="0.4">
      <c r="A149" s="13" t="s">
        <v>104</v>
      </c>
      <c r="B149" s="13"/>
      <c r="C149" s="13" t="s">
        <v>152</v>
      </c>
      <c r="D149" s="13" t="s">
        <v>153</v>
      </c>
      <c r="E149" s="25">
        <v>6.3E-2</v>
      </c>
      <c r="F149" s="21">
        <v>44854</v>
      </c>
      <c r="G149" s="13">
        <v>1.0188541666666666</v>
      </c>
      <c r="H149" s="25">
        <v>66.926000000000002</v>
      </c>
      <c r="I149" s="9"/>
      <c r="J149" s="9" t="s">
        <v>26</v>
      </c>
      <c r="K149" s="22">
        <v>14.542999999999999</v>
      </c>
      <c r="L149" s="9">
        <v>1.85</v>
      </c>
      <c r="M149" s="25">
        <v>42.706000000000003</v>
      </c>
      <c r="N149" s="9"/>
      <c r="O149" s="9" t="s">
        <v>26</v>
      </c>
      <c r="P149" s="22">
        <v>3.274</v>
      </c>
      <c r="Q149" s="9">
        <v>2.399</v>
      </c>
      <c r="R149" s="13"/>
      <c r="S149" s="9"/>
      <c r="T149" s="9"/>
      <c r="U149" s="9" t="s">
        <v>49</v>
      </c>
      <c r="V149" s="22">
        <v>0.12762000000000001</v>
      </c>
      <c r="W149" s="25">
        <v>5.1418999999999997</v>
      </c>
      <c r="X149" s="9"/>
      <c r="Y149" s="9" t="s">
        <v>26</v>
      </c>
      <c r="Z149" s="22">
        <v>0.74819999999999998</v>
      </c>
      <c r="AA149" s="9">
        <v>0.5988</v>
      </c>
      <c r="AB149" s="25">
        <v>3.6432000000000002</v>
      </c>
      <c r="AC149" s="9"/>
      <c r="AD149" s="9" t="s">
        <v>26</v>
      </c>
      <c r="AE149" s="22">
        <v>0.31336999999999998</v>
      </c>
      <c r="AF149" s="9">
        <v>0.2757</v>
      </c>
      <c r="AG149" s="13"/>
      <c r="AH149" s="9"/>
      <c r="AI149" s="9"/>
      <c r="AJ149" s="9" t="s">
        <v>49</v>
      </c>
      <c r="AK149" s="22">
        <v>1.4121999999999999</v>
      </c>
      <c r="AL149" s="25">
        <v>13.295</v>
      </c>
      <c r="AM149" s="9"/>
      <c r="AN149" s="9" t="s">
        <v>26</v>
      </c>
      <c r="AO149" s="22">
        <v>0.84609000000000001</v>
      </c>
      <c r="AP149" s="9">
        <v>0.52359999999999995</v>
      </c>
      <c r="AQ149" s="25">
        <v>11.113</v>
      </c>
      <c r="AR149" s="9"/>
      <c r="AS149" s="9" t="s">
        <v>26</v>
      </c>
      <c r="AT149" s="22">
        <v>0.68518000000000001</v>
      </c>
      <c r="AU149" s="9">
        <v>0.44550000000000001</v>
      </c>
      <c r="AV149" s="25">
        <v>10.708</v>
      </c>
      <c r="AW149" s="9"/>
      <c r="AX149" s="9" t="s">
        <v>26</v>
      </c>
      <c r="AY149" s="22">
        <v>4.4612999999999996</v>
      </c>
      <c r="AZ149" s="9">
        <v>3.657</v>
      </c>
      <c r="BA149" s="25">
        <v>1.7782</v>
      </c>
      <c r="BB149" s="9"/>
      <c r="BC149" s="9" t="s">
        <v>26</v>
      </c>
      <c r="BD149" s="22">
        <v>0.27262999999999998</v>
      </c>
      <c r="BE149" s="9">
        <v>0.21540000000000001</v>
      </c>
      <c r="BF149" s="25">
        <v>15.532</v>
      </c>
      <c r="BG149" s="9"/>
      <c r="BH149" s="9" t="s">
        <v>26</v>
      </c>
      <c r="BI149" s="22">
        <v>2.3738999999999999</v>
      </c>
      <c r="BJ149" s="12">
        <v>2.1280000000000001</v>
      </c>
    </row>
    <row r="150" spans="1:62" ht="15" thickBot="1" x14ac:dyDescent="0.4">
      <c r="A150" s="13" t="s">
        <v>105</v>
      </c>
      <c r="B150" s="13"/>
      <c r="C150" s="13" t="s">
        <v>152</v>
      </c>
      <c r="D150" s="13" t="s">
        <v>153</v>
      </c>
      <c r="E150" s="25">
        <v>6.5948000000000007E-2</v>
      </c>
      <c r="F150" s="21">
        <v>44855</v>
      </c>
      <c r="G150" s="13">
        <v>2.5952314814814814</v>
      </c>
      <c r="H150" s="25">
        <v>57.872</v>
      </c>
      <c r="I150" s="9"/>
      <c r="J150" s="9" t="s">
        <v>26</v>
      </c>
      <c r="K150" s="22">
        <v>12.43</v>
      </c>
      <c r="L150" s="9">
        <v>1.2549999999999999</v>
      </c>
      <c r="M150" s="25">
        <v>31.372</v>
      </c>
      <c r="N150" s="9"/>
      <c r="O150" s="9" t="s">
        <v>26</v>
      </c>
      <c r="P150" s="22">
        <v>1.9126000000000001</v>
      </c>
      <c r="Q150" s="9">
        <v>1.391</v>
      </c>
      <c r="R150" s="25">
        <v>0.20268</v>
      </c>
      <c r="S150" s="9"/>
      <c r="T150" s="9" t="s">
        <v>26</v>
      </c>
      <c r="U150" s="22">
        <v>7.3591000000000004E-2</v>
      </c>
      <c r="V150" s="9">
        <v>8.2159999999999997E-2</v>
      </c>
      <c r="W150" s="25">
        <v>4.4733999999999998</v>
      </c>
      <c r="X150" s="9"/>
      <c r="Y150" s="9" t="s">
        <v>26</v>
      </c>
      <c r="Z150" s="22">
        <v>0.56689999999999996</v>
      </c>
      <c r="AA150" s="9">
        <v>0.43869999999999998</v>
      </c>
      <c r="AB150" s="25">
        <v>3.4175</v>
      </c>
      <c r="AC150" s="9"/>
      <c r="AD150" s="9" t="s">
        <v>26</v>
      </c>
      <c r="AE150" s="22">
        <v>0.2112</v>
      </c>
      <c r="AF150" s="9">
        <v>0.15690000000000001</v>
      </c>
      <c r="AG150" s="13"/>
      <c r="AH150" s="9"/>
      <c r="AI150" s="9"/>
      <c r="AJ150" s="9" t="s">
        <v>49</v>
      </c>
      <c r="AK150" s="22">
        <v>1.5254000000000001</v>
      </c>
      <c r="AL150" s="25">
        <v>12.571</v>
      </c>
      <c r="AM150" s="9"/>
      <c r="AN150" s="9" t="s">
        <v>26</v>
      </c>
      <c r="AO150" s="22">
        <v>0.55662999999999996</v>
      </c>
      <c r="AP150" s="9">
        <v>0.29570000000000002</v>
      </c>
      <c r="AQ150" s="25">
        <v>10.536</v>
      </c>
      <c r="AR150" s="9"/>
      <c r="AS150" s="9" t="s">
        <v>26</v>
      </c>
      <c r="AT150" s="22">
        <v>0.50660000000000005</v>
      </c>
      <c r="AU150" s="9">
        <v>0.2903</v>
      </c>
      <c r="AV150" s="25">
        <v>9.8356999999999992</v>
      </c>
      <c r="AW150" s="9"/>
      <c r="AX150" s="9" t="s">
        <v>26</v>
      </c>
      <c r="AY150" s="22">
        <v>2.6122999999999998</v>
      </c>
      <c r="AZ150" s="9">
        <v>2.0419999999999998</v>
      </c>
      <c r="BA150" s="25">
        <v>1.6805000000000001</v>
      </c>
      <c r="BB150" s="9"/>
      <c r="BC150" s="9" t="s">
        <v>26</v>
      </c>
      <c r="BD150" s="22">
        <v>0.18462999999999999</v>
      </c>
      <c r="BE150" s="9">
        <v>0.14000000000000001</v>
      </c>
      <c r="BF150" s="25">
        <v>16.295000000000002</v>
      </c>
      <c r="BG150" s="9"/>
      <c r="BH150" s="9" t="s">
        <v>26</v>
      </c>
      <c r="BI150" s="22">
        <v>1.6747000000000001</v>
      </c>
      <c r="BJ150" s="12">
        <v>1.3979999999999999</v>
      </c>
    </row>
    <row r="151" spans="1:62" ht="15" thickBot="1" x14ac:dyDescent="0.4">
      <c r="A151" s="13" t="s">
        <v>106</v>
      </c>
      <c r="B151" s="13"/>
      <c r="C151" s="13" t="s">
        <v>152</v>
      </c>
      <c r="D151" s="13" t="s">
        <v>153</v>
      </c>
      <c r="E151" s="25">
        <v>6.5000000000000002E-2</v>
      </c>
      <c r="F151" s="21">
        <v>44862</v>
      </c>
      <c r="G151" s="13">
        <v>2.6692939814814811</v>
      </c>
      <c r="H151" s="25">
        <v>55.615000000000002</v>
      </c>
      <c r="I151" s="9"/>
      <c r="J151" s="9" t="s">
        <v>26</v>
      </c>
      <c r="K151" s="22">
        <v>11.941000000000001</v>
      </c>
      <c r="L151" s="9">
        <v>1.2270000000000001</v>
      </c>
      <c r="M151" s="25">
        <v>30.311</v>
      </c>
      <c r="N151" s="9"/>
      <c r="O151" s="9" t="s">
        <v>26</v>
      </c>
      <c r="P151" s="22">
        <v>1.5753999999999999</v>
      </c>
      <c r="Q151" s="9">
        <v>1.276</v>
      </c>
      <c r="R151" s="13"/>
      <c r="S151" s="9"/>
      <c r="T151" s="9"/>
      <c r="U151" s="9" t="s">
        <v>49</v>
      </c>
      <c r="V151" s="22">
        <v>4.7958000000000001E-2</v>
      </c>
      <c r="W151" s="25">
        <v>4.2146999999999997</v>
      </c>
      <c r="X151" s="9"/>
      <c r="Y151" s="9" t="s">
        <v>26</v>
      </c>
      <c r="Z151" s="22">
        <v>0.5484</v>
      </c>
      <c r="AA151" s="9">
        <v>0.42609999999999998</v>
      </c>
      <c r="AB151" s="25">
        <v>3.0922000000000001</v>
      </c>
      <c r="AC151" s="9"/>
      <c r="AD151" s="9" t="s">
        <v>26</v>
      </c>
      <c r="AE151" s="22">
        <v>0.20835999999999999</v>
      </c>
      <c r="AF151" s="9">
        <v>0.16969999999999999</v>
      </c>
      <c r="AG151" s="13"/>
      <c r="AH151" s="9"/>
      <c r="AI151" s="9"/>
      <c r="AJ151" s="9" t="s">
        <v>49</v>
      </c>
      <c r="AK151" s="22">
        <v>0.83472999999999997</v>
      </c>
      <c r="AL151" s="25">
        <v>12.045</v>
      </c>
      <c r="AM151" s="9"/>
      <c r="AN151" s="9" t="s">
        <v>26</v>
      </c>
      <c r="AO151" s="22">
        <v>0.61839999999999995</v>
      </c>
      <c r="AP151" s="9">
        <v>0.34989999999999999</v>
      </c>
      <c r="AQ151" s="25">
        <v>9.9642999999999997</v>
      </c>
      <c r="AR151" s="9"/>
      <c r="AS151" s="9" t="s">
        <v>26</v>
      </c>
      <c r="AT151" s="22">
        <v>0.46742</v>
      </c>
      <c r="AU151" s="9">
        <v>0.27239999999999998</v>
      </c>
      <c r="AV151" s="25">
        <v>9.1014999999999997</v>
      </c>
      <c r="AW151" s="9"/>
      <c r="AX151" s="9" t="s">
        <v>26</v>
      </c>
      <c r="AY151" s="22">
        <v>2.6764000000000001</v>
      </c>
      <c r="AZ151" s="9">
        <v>2.1539999999999999</v>
      </c>
      <c r="BA151" s="25">
        <v>1.5108999999999999</v>
      </c>
      <c r="BB151" s="9"/>
      <c r="BC151" s="9" t="s">
        <v>26</v>
      </c>
      <c r="BD151" s="22">
        <v>0.16949</v>
      </c>
      <c r="BE151" s="9">
        <v>0.13289999999999999</v>
      </c>
      <c r="BF151" s="25">
        <v>15.726000000000001</v>
      </c>
      <c r="BG151" s="9"/>
      <c r="BH151" s="9" t="s">
        <v>26</v>
      </c>
      <c r="BI151" s="22">
        <v>1.2906</v>
      </c>
      <c r="BJ151" s="12">
        <v>1.28</v>
      </c>
    </row>
    <row r="152" spans="1:62" ht="15" thickBot="1" x14ac:dyDescent="0.4">
      <c r="A152" s="13" t="s">
        <v>107</v>
      </c>
      <c r="B152" s="13"/>
      <c r="C152" s="13" t="s">
        <v>152</v>
      </c>
      <c r="D152" s="13" t="s">
        <v>153</v>
      </c>
      <c r="E152" s="25">
        <v>6.3843999999999998E-2</v>
      </c>
      <c r="F152" s="21">
        <v>44865</v>
      </c>
      <c r="G152" s="13">
        <v>0.91515046296296287</v>
      </c>
      <c r="H152" s="25">
        <v>64.703000000000003</v>
      </c>
      <c r="I152" s="9"/>
      <c r="J152" s="9" t="s">
        <v>26</v>
      </c>
      <c r="K152" s="22">
        <v>14.257</v>
      </c>
      <c r="L152" s="9">
        <v>2.4129999999999998</v>
      </c>
      <c r="M152" s="25">
        <v>27.943000000000001</v>
      </c>
      <c r="N152" s="9"/>
      <c r="O152" s="9" t="s">
        <v>26</v>
      </c>
      <c r="P152" s="22">
        <v>2.7703000000000002</v>
      </c>
      <c r="Q152" s="9">
        <v>2.2610000000000001</v>
      </c>
      <c r="R152" s="13"/>
      <c r="S152" s="9"/>
      <c r="T152" s="9"/>
      <c r="U152" s="9" t="s">
        <v>49</v>
      </c>
      <c r="V152" s="22">
        <v>0.12916</v>
      </c>
      <c r="W152" s="25">
        <v>5.4363000000000001</v>
      </c>
      <c r="X152" s="9"/>
      <c r="Y152" s="9" t="s">
        <v>26</v>
      </c>
      <c r="Z152" s="22">
        <v>0.99870999999999999</v>
      </c>
      <c r="AA152" s="9">
        <v>0.76919999999999999</v>
      </c>
      <c r="AB152" s="25">
        <v>4.0140000000000002</v>
      </c>
      <c r="AC152" s="9"/>
      <c r="AD152" s="9" t="s">
        <v>26</v>
      </c>
      <c r="AE152" s="22">
        <v>0.33509</v>
      </c>
      <c r="AF152" s="9">
        <v>0.28810000000000002</v>
      </c>
      <c r="AG152" s="25">
        <v>8.0492000000000008</v>
      </c>
      <c r="AH152" s="9"/>
      <c r="AI152" s="9" t="s">
        <v>26</v>
      </c>
      <c r="AJ152" s="22">
        <v>3.3012000000000001</v>
      </c>
      <c r="AK152" s="9">
        <v>2.794</v>
      </c>
      <c r="AL152" s="25">
        <v>12.456</v>
      </c>
      <c r="AM152" s="9"/>
      <c r="AN152" s="9" t="s">
        <v>26</v>
      </c>
      <c r="AO152" s="22">
        <v>0.66490000000000005</v>
      </c>
      <c r="AP152" s="9">
        <v>0.4289</v>
      </c>
      <c r="AQ152" s="25">
        <v>10.962</v>
      </c>
      <c r="AR152" s="9"/>
      <c r="AS152" s="9" t="s">
        <v>26</v>
      </c>
      <c r="AT152" s="22">
        <v>0.68371000000000004</v>
      </c>
      <c r="AU152" s="9">
        <v>0.44979999999999998</v>
      </c>
      <c r="AV152" s="25">
        <v>10.186999999999999</v>
      </c>
      <c r="AW152" s="9"/>
      <c r="AX152" s="9" t="s">
        <v>26</v>
      </c>
      <c r="AY152" s="22">
        <v>4.6257999999999999</v>
      </c>
      <c r="AZ152" s="9">
        <v>3.871</v>
      </c>
      <c r="BA152" s="25">
        <v>1.6875</v>
      </c>
      <c r="BB152" s="9"/>
      <c r="BC152" s="9" t="s">
        <v>26</v>
      </c>
      <c r="BD152" s="22">
        <v>0.23229</v>
      </c>
      <c r="BE152" s="9">
        <v>0.1958</v>
      </c>
      <c r="BF152" s="25">
        <v>15.731999999999999</v>
      </c>
      <c r="BG152" s="9"/>
      <c r="BH152" s="9" t="s">
        <v>26</v>
      </c>
      <c r="BI152" s="22">
        <v>2.4441000000000002</v>
      </c>
      <c r="BJ152" s="12">
        <v>2.242</v>
      </c>
    </row>
    <row r="153" spans="1:62" ht="15" thickBot="1" x14ac:dyDescent="0.4">
      <c r="A153" s="13" t="s">
        <v>108</v>
      </c>
      <c r="B153" s="13"/>
      <c r="C153" s="13" t="s">
        <v>152</v>
      </c>
      <c r="D153" s="13" t="s">
        <v>153</v>
      </c>
      <c r="E153" s="25">
        <v>6.2821000000000002E-2</v>
      </c>
      <c r="F153" s="21">
        <v>44866</v>
      </c>
      <c r="G153" s="13">
        <v>0.93777777777777782</v>
      </c>
      <c r="H153" s="25">
        <v>67.018000000000001</v>
      </c>
      <c r="I153" s="9"/>
      <c r="J153" s="9" t="s">
        <v>26</v>
      </c>
      <c r="K153" s="22">
        <v>14.66</v>
      </c>
      <c r="L153" s="9">
        <v>2.1949999999999998</v>
      </c>
      <c r="M153" s="25">
        <v>48.963999999999999</v>
      </c>
      <c r="N153" s="9"/>
      <c r="O153" s="9" t="s">
        <v>26</v>
      </c>
      <c r="P153" s="22">
        <v>3.5486</v>
      </c>
      <c r="Q153" s="9">
        <v>2.5720000000000001</v>
      </c>
      <c r="R153" s="13"/>
      <c r="S153" s="9"/>
      <c r="T153" s="9"/>
      <c r="U153" s="9" t="s">
        <v>49</v>
      </c>
      <c r="V153" s="22">
        <v>0.12665999999999999</v>
      </c>
      <c r="W153" s="25">
        <v>4.5808999999999997</v>
      </c>
      <c r="X153" s="9"/>
      <c r="Y153" s="9" t="s">
        <v>26</v>
      </c>
      <c r="Z153" s="22">
        <v>0.71555000000000002</v>
      </c>
      <c r="AA153" s="9">
        <v>0.59509999999999996</v>
      </c>
      <c r="AB153" s="25">
        <v>3.9083999999999999</v>
      </c>
      <c r="AC153" s="9"/>
      <c r="AD153" s="9" t="s">
        <v>26</v>
      </c>
      <c r="AE153" s="22">
        <v>0.32652999999999999</v>
      </c>
      <c r="AF153" s="9">
        <v>0.27989999999999998</v>
      </c>
      <c r="AG153" s="13"/>
      <c r="AH153" s="9"/>
      <c r="AI153" s="9"/>
      <c r="AJ153" s="9" t="s">
        <v>49</v>
      </c>
      <c r="AK153" s="22">
        <v>1.6015999999999999</v>
      </c>
      <c r="AL153" s="25">
        <v>13.097</v>
      </c>
      <c r="AM153" s="9"/>
      <c r="AN153" s="9" t="s">
        <v>26</v>
      </c>
      <c r="AO153" s="22">
        <v>0.88478000000000001</v>
      </c>
      <c r="AP153" s="9">
        <v>0.55489999999999995</v>
      </c>
      <c r="AQ153" s="25">
        <v>12.613</v>
      </c>
      <c r="AR153" s="9"/>
      <c r="AS153" s="9" t="s">
        <v>26</v>
      </c>
      <c r="AT153" s="22">
        <v>0.85224</v>
      </c>
      <c r="AU153" s="9">
        <v>0.53039999999999998</v>
      </c>
      <c r="AV153" s="25">
        <v>7.9653</v>
      </c>
      <c r="AW153" s="9"/>
      <c r="AX153" s="9" t="s">
        <v>26</v>
      </c>
      <c r="AY153" s="22">
        <v>6.7972999999999999</v>
      </c>
      <c r="AZ153" s="9">
        <v>4.1260000000000003</v>
      </c>
      <c r="BA153" s="25">
        <v>2.1141999999999999</v>
      </c>
      <c r="BB153" s="9"/>
      <c r="BC153" s="9" t="s">
        <v>26</v>
      </c>
      <c r="BD153" s="22">
        <v>0.29305999999999999</v>
      </c>
      <c r="BE153" s="9">
        <v>0.22950000000000001</v>
      </c>
      <c r="BF153" s="25">
        <v>20.597000000000001</v>
      </c>
      <c r="BG153" s="9"/>
      <c r="BH153" s="9" t="s">
        <v>26</v>
      </c>
      <c r="BI153" s="22">
        <v>2.7583000000000002</v>
      </c>
      <c r="BJ153" s="12">
        <v>2.3580000000000001</v>
      </c>
    </row>
    <row r="154" spans="1:62" ht="15" thickBot="1" x14ac:dyDescent="0.4">
      <c r="A154" s="13" t="s">
        <v>109</v>
      </c>
      <c r="B154" s="13"/>
      <c r="C154" s="13" t="s">
        <v>152</v>
      </c>
      <c r="D154" s="13" t="s">
        <v>153</v>
      </c>
      <c r="E154" s="25">
        <v>6.2841999999999995E-2</v>
      </c>
      <c r="F154" s="21">
        <v>44867</v>
      </c>
      <c r="G154" s="13">
        <v>0.94731481481481483</v>
      </c>
      <c r="H154" s="25">
        <v>58.664999999999999</v>
      </c>
      <c r="I154" s="9"/>
      <c r="J154" s="9" t="s">
        <v>26</v>
      </c>
      <c r="K154" s="22">
        <v>12.862</v>
      </c>
      <c r="L154" s="9">
        <v>1.9219999999999999</v>
      </c>
      <c r="M154" s="25">
        <v>47.834000000000003</v>
      </c>
      <c r="N154" s="9"/>
      <c r="O154" s="9" t="s">
        <v>26</v>
      </c>
      <c r="P154" s="22">
        <v>3.7562000000000002</v>
      </c>
      <c r="Q154" s="9">
        <v>2.6589999999999998</v>
      </c>
      <c r="R154" s="13"/>
      <c r="S154" s="9"/>
      <c r="T154" s="9"/>
      <c r="U154" s="9" t="s">
        <v>49</v>
      </c>
      <c r="V154" s="22">
        <v>0.12499</v>
      </c>
      <c r="W154" s="25">
        <v>5.3209999999999997</v>
      </c>
      <c r="X154" s="9"/>
      <c r="Y154" s="9" t="s">
        <v>26</v>
      </c>
      <c r="Z154" s="22">
        <v>0.85040000000000004</v>
      </c>
      <c r="AA154" s="9">
        <v>0.68020000000000003</v>
      </c>
      <c r="AB154" s="25">
        <v>3.306</v>
      </c>
      <c r="AC154" s="9"/>
      <c r="AD154" s="9" t="s">
        <v>26</v>
      </c>
      <c r="AE154" s="22">
        <v>0.30891000000000002</v>
      </c>
      <c r="AF154" s="9">
        <v>0.27950000000000003</v>
      </c>
      <c r="AG154" s="25">
        <v>7.2592999999999996</v>
      </c>
      <c r="AH154" s="9"/>
      <c r="AI154" s="9" t="s">
        <v>26</v>
      </c>
      <c r="AJ154" s="22">
        <v>1.8281000000000001</v>
      </c>
      <c r="AK154" s="9">
        <v>1.798</v>
      </c>
      <c r="AL154" s="25">
        <v>11.798</v>
      </c>
      <c r="AM154" s="9"/>
      <c r="AN154" s="9" t="s">
        <v>26</v>
      </c>
      <c r="AO154" s="22">
        <v>0.83847000000000005</v>
      </c>
      <c r="AP154" s="9">
        <v>0.52880000000000005</v>
      </c>
      <c r="AQ154" s="25">
        <v>10.821999999999999</v>
      </c>
      <c r="AR154" s="9"/>
      <c r="AS154" s="9" t="s">
        <v>26</v>
      </c>
      <c r="AT154" s="22">
        <v>0.73397999999999997</v>
      </c>
      <c r="AU154" s="9">
        <v>0.47920000000000001</v>
      </c>
      <c r="AV154" s="13"/>
      <c r="AW154" s="9"/>
      <c r="AX154" s="9"/>
      <c r="AY154" s="9" t="s">
        <v>49</v>
      </c>
      <c r="AZ154" s="22">
        <v>4.1928000000000001</v>
      </c>
      <c r="BA154" s="25">
        <v>1.8771</v>
      </c>
      <c r="BB154" s="9"/>
      <c r="BC154" s="9" t="s">
        <v>26</v>
      </c>
      <c r="BD154" s="22">
        <v>0.31047999999999998</v>
      </c>
      <c r="BE154" s="9">
        <v>0.24179999999999999</v>
      </c>
      <c r="BF154" s="25">
        <v>15.417</v>
      </c>
      <c r="BG154" s="9"/>
      <c r="BH154" s="9" t="s">
        <v>26</v>
      </c>
      <c r="BI154" s="22">
        <v>2.0947</v>
      </c>
      <c r="BJ154" s="12">
        <v>2.1739999999999999</v>
      </c>
    </row>
    <row r="155" spans="1:62" ht="15" thickBot="1" x14ac:dyDescent="0.4">
      <c r="A155" s="13" t="s">
        <v>110</v>
      </c>
      <c r="B155" s="13"/>
      <c r="C155" s="13" t="s">
        <v>152</v>
      </c>
      <c r="D155" s="13" t="s">
        <v>153</v>
      </c>
      <c r="E155" s="25">
        <v>6.0864000000000001E-2</v>
      </c>
      <c r="F155" s="21">
        <v>44868</v>
      </c>
      <c r="G155" s="13">
        <v>1.0023032407407408</v>
      </c>
      <c r="H155" s="25">
        <v>55.323</v>
      </c>
      <c r="I155" s="9"/>
      <c r="J155" s="9" t="s">
        <v>26</v>
      </c>
      <c r="K155" s="22">
        <v>12.111000000000001</v>
      </c>
      <c r="L155" s="9">
        <v>1.8819999999999999</v>
      </c>
      <c r="M155" s="25">
        <v>49.790999999999997</v>
      </c>
      <c r="N155" s="9"/>
      <c r="O155" s="9" t="s">
        <v>26</v>
      </c>
      <c r="P155" s="22">
        <v>2.7669000000000001</v>
      </c>
      <c r="Q155" s="9">
        <v>2.0950000000000002</v>
      </c>
      <c r="R155" s="13"/>
      <c r="S155" s="9"/>
      <c r="T155" s="9"/>
      <c r="U155" s="9" t="s">
        <v>49</v>
      </c>
      <c r="V155" s="22">
        <v>0.11364</v>
      </c>
      <c r="W155" s="25">
        <v>5.9450000000000003</v>
      </c>
      <c r="X155" s="9"/>
      <c r="Y155" s="9" t="s">
        <v>26</v>
      </c>
      <c r="Z155" s="22">
        <v>0.84926999999999997</v>
      </c>
      <c r="AA155" s="9">
        <v>0.63249999999999995</v>
      </c>
      <c r="AB155" s="25">
        <v>3.2427000000000001</v>
      </c>
      <c r="AC155" s="9"/>
      <c r="AD155" s="9" t="s">
        <v>26</v>
      </c>
      <c r="AE155" s="22">
        <v>0.30329</v>
      </c>
      <c r="AF155" s="9">
        <v>0.27479999999999999</v>
      </c>
      <c r="AG155" s="25">
        <v>5.9683999999999999</v>
      </c>
      <c r="AH155" s="9"/>
      <c r="AI155" s="9" t="s">
        <v>26</v>
      </c>
      <c r="AJ155" s="22">
        <v>2.8969999999999998</v>
      </c>
      <c r="AK155" s="9">
        <v>2.5550000000000002</v>
      </c>
      <c r="AL155" s="25">
        <v>10.76</v>
      </c>
      <c r="AM155" s="9"/>
      <c r="AN155" s="9" t="s">
        <v>26</v>
      </c>
      <c r="AO155" s="22">
        <v>0.66801999999999995</v>
      </c>
      <c r="AP155" s="9">
        <v>0.42870000000000003</v>
      </c>
      <c r="AQ155" s="25">
        <v>8.7678999999999991</v>
      </c>
      <c r="AR155" s="9"/>
      <c r="AS155" s="9" t="s">
        <v>26</v>
      </c>
      <c r="AT155" s="22">
        <v>0.59606999999999999</v>
      </c>
      <c r="AU155" s="9">
        <v>0.41389999999999999</v>
      </c>
      <c r="AV155" s="25">
        <v>5.1875999999999998</v>
      </c>
      <c r="AW155" s="9"/>
      <c r="AX155" s="9" t="s">
        <v>26</v>
      </c>
      <c r="AY155" s="22">
        <v>4.407</v>
      </c>
      <c r="AZ155" s="9">
        <v>3.6850000000000001</v>
      </c>
      <c r="BA155" s="25">
        <v>1.7807999999999999</v>
      </c>
      <c r="BB155" s="9"/>
      <c r="BC155" s="9" t="s">
        <v>26</v>
      </c>
      <c r="BD155" s="22">
        <v>0.31237999999999999</v>
      </c>
      <c r="BE155" s="9">
        <v>0.24759999999999999</v>
      </c>
      <c r="BF155" s="25">
        <v>13.02</v>
      </c>
      <c r="BG155" s="9"/>
      <c r="BH155" s="9" t="s">
        <v>26</v>
      </c>
      <c r="BI155" s="22">
        <v>2.7368000000000001</v>
      </c>
      <c r="BJ155" s="12">
        <v>2.3879999999999999</v>
      </c>
    </row>
    <row r="156" spans="1:62" ht="15" thickBot="1" x14ac:dyDescent="0.4">
      <c r="A156" s="13" t="s">
        <v>111</v>
      </c>
      <c r="B156" s="13"/>
      <c r="C156" s="13" t="s">
        <v>152</v>
      </c>
      <c r="D156" s="13" t="s">
        <v>153</v>
      </c>
      <c r="E156" s="25">
        <v>5.7153000000000002E-2</v>
      </c>
      <c r="F156" s="21">
        <v>44869</v>
      </c>
      <c r="G156" s="13">
        <v>2.6674189814814819</v>
      </c>
      <c r="H156" s="25">
        <v>51.728000000000002</v>
      </c>
      <c r="I156" s="9"/>
      <c r="J156" s="9" t="s">
        <v>26</v>
      </c>
      <c r="K156" s="22">
        <v>11.163</v>
      </c>
      <c r="L156" s="9">
        <v>1.3360000000000001</v>
      </c>
      <c r="M156" s="25">
        <v>35.899000000000001</v>
      </c>
      <c r="N156" s="9"/>
      <c r="O156" s="9" t="s">
        <v>26</v>
      </c>
      <c r="P156" s="22">
        <v>1.9652000000000001</v>
      </c>
      <c r="Q156" s="9">
        <v>1.409</v>
      </c>
      <c r="R156" s="25">
        <v>0.16053000000000001</v>
      </c>
      <c r="S156" s="9"/>
      <c r="T156" s="9" t="s">
        <v>26</v>
      </c>
      <c r="U156" s="22">
        <v>0.1133</v>
      </c>
      <c r="V156" s="9">
        <v>0.1167</v>
      </c>
      <c r="W156" s="25">
        <v>3.7321</v>
      </c>
      <c r="X156" s="9"/>
      <c r="Y156" s="9" t="s">
        <v>26</v>
      </c>
      <c r="Z156" s="22">
        <v>0.55144000000000004</v>
      </c>
      <c r="AA156" s="9">
        <v>0.4526</v>
      </c>
      <c r="AB156" s="25">
        <v>2.6854</v>
      </c>
      <c r="AC156" s="9"/>
      <c r="AD156" s="9" t="s">
        <v>26</v>
      </c>
      <c r="AE156" s="22">
        <v>0.20383000000000001</v>
      </c>
      <c r="AF156" s="9">
        <v>0.1779</v>
      </c>
      <c r="AG156" s="25">
        <v>8.3506999999999998</v>
      </c>
      <c r="AH156" s="9"/>
      <c r="AI156" s="9" t="s">
        <v>26</v>
      </c>
      <c r="AJ156" s="22">
        <v>1.9492</v>
      </c>
      <c r="AK156" s="9">
        <v>1.643</v>
      </c>
      <c r="AL156" s="25">
        <v>9.2402999999999995</v>
      </c>
      <c r="AM156" s="9"/>
      <c r="AN156" s="9" t="s">
        <v>26</v>
      </c>
      <c r="AO156" s="22">
        <v>0.47006999999999999</v>
      </c>
      <c r="AP156" s="9">
        <v>0.29149999999999998</v>
      </c>
      <c r="AQ156" s="25">
        <v>8.2889999999999997</v>
      </c>
      <c r="AR156" s="9"/>
      <c r="AS156" s="9" t="s">
        <v>26</v>
      </c>
      <c r="AT156" s="22">
        <v>0.45866000000000001</v>
      </c>
      <c r="AU156" s="9">
        <v>0.29809999999999998</v>
      </c>
      <c r="AV156" s="25">
        <v>7.3220999999999998</v>
      </c>
      <c r="AW156" s="9"/>
      <c r="AX156" s="9" t="s">
        <v>26</v>
      </c>
      <c r="AY156" s="22">
        <v>4.0220000000000002</v>
      </c>
      <c r="AZ156" s="9">
        <v>2.4260000000000002</v>
      </c>
      <c r="BA156" s="25">
        <v>1.4491000000000001</v>
      </c>
      <c r="BB156" s="9"/>
      <c r="BC156" s="9" t="s">
        <v>26</v>
      </c>
      <c r="BD156" s="22">
        <v>0.21159</v>
      </c>
      <c r="BE156" s="9">
        <v>0.16370000000000001</v>
      </c>
      <c r="BF156" s="25">
        <v>17.484999999999999</v>
      </c>
      <c r="BG156" s="9"/>
      <c r="BH156" s="9" t="s">
        <v>26</v>
      </c>
      <c r="BI156" s="22">
        <v>1.3451</v>
      </c>
      <c r="BJ156" s="12">
        <v>1.296</v>
      </c>
    </row>
    <row r="157" spans="1:62" ht="15" thickBot="1" x14ac:dyDescent="0.4">
      <c r="A157" s="13" t="s">
        <v>112</v>
      </c>
      <c r="B157" s="13"/>
      <c r="C157" s="13" t="s">
        <v>152</v>
      </c>
      <c r="D157" s="13" t="s">
        <v>153</v>
      </c>
      <c r="E157" s="25">
        <v>5.9539000000000002E-2</v>
      </c>
      <c r="F157" s="21">
        <v>44872</v>
      </c>
      <c r="G157" s="13">
        <v>0.98107638888888893</v>
      </c>
      <c r="H157" s="25">
        <v>55.265000000000001</v>
      </c>
      <c r="I157" s="9"/>
      <c r="J157" s="9" t="s">
        <v>26</v>
      </c>
      <c r="K157" s="22">
        <v>12.238</v>
      </c>
      <c r="L157" s="9">
        <v>2.2210000000000001</v>
      </c>
      <c r="M157" s="25">
        <v>32.450000000000003</v>
      </c>
      <c r="N157" s="9"/>
      <c r="O157" s="9" t="s">
        <v>26</v>
      </c>
      <c r="P157" s="22">
        <v>2.7263000000000002</v>
      </c>
      <c r="Q157" s="9">
        <v>2.2269999999999999</v>
      </c>
      <c r="R157" s="13"/>
      <c r="S157" s="9"/>
      <c r="T157" s="9"/>
      <c r="U157" s="9" t="s">
        <v>49</v>
      </c>
      <c r="V157" s="22">
        <v>0.12364</v>
      </c>
      <c r="W157" s="25">
        <v>4.5354999999999999</v>
      </c>
      <c r="X157" s="9"/>
      <c r="Y157" s="9" t="s">
        <v>26</v>
      </c>
      <c r="Z157" s="22">
        <v>0.87451999999999996</v>
      </c>
      <c r="AA157" s="9">
        <v>0.70820000000000005</v>
      </c>
      <c r="AB157" s="25">
        <v>3.2136</v>
      </c>
      <c r="AC157" s="9"/>
      <c r="AD157" s="9" t="s">
        <v>26</v>
      </c>
      <c r="AE157" s="22">
        <v>0.31129000000000001</v>
      </c>
      <c r="AF157" s="9">
        <v>0.2858</v>
      </c>
      <c r="AG157" s="13"/>
      <c r="AH157" s="9"/>
      <c r="AI157" s="9"/>
      <c r="AJ157" s="9" t="s">
        <v>49</v>
      </c>
      <c r="AK157" s="22">
        <v>1.4764999999999999</v>
      </c>
      <c r="AL157" s="25">
        <v>10.371</v>
      </c>
      <c r="AM157" s="9"/>
      <c r="AN157" s="9" t="s">
        <v>26</v>
      </c>
      <c r="AO157" s="22">
        <v>0.76183999999999996</v>
      </c>
      <c r="AP157" s="9">
        <v>0.50600000000000001</v>
      </c>
      <c r="AQ157" s="25">
        <v>9.5934000000000008</v>
      </c>
      <c r="AR157" s="9"/>
      <c r="AS157" s="9" t="s">
        <v>26</v>
      </c>
      <c r="AT157" s="22">
        <v>0.69508000000000003</v>
      </c>
      <c r="AU157" s="9">
        <v>0.46829999999999999</v>
      </c>
      <c r="AV157" s="13"/>
      <c r="AW157" s="9"/>
      <c r="AX157" s="9"/>
      <c r="AY157" s="9" t="s">
        <v>49</v>
      </c>
      <c r="AZ157" s="22">
        <v>4.0153999999999996</v>
      </c>
      <c r="BA157" s="25">
        <v>1.2698</v>
      </c>
      <c r="BB157" s="9"/>
      <c r="BC157" s="9" t="s">
        <v>26</v>
      </c>
      <c r="BD157" s="22">
        <v>0.24551000000000001</v>
      </c>
      <c r="BE157" s="9">
        <v>0.2127</v>
      </c>
      <c r="BF157" s="25">
        <v>14.885999999999999</v>
      </c>
      <c r="BG157" s="9"/>
      <c r="BH157" s="9" t="s">
        <v>26</v>
      </c>
      <c r="BI157" s="22">
        <v>2.0790999999999999</v>
      </c>
      <c r="BJ157" s="12">
        <v>2.161</v>
      </c>
    </row>
    <row r="158" spans="1:62" ht="15" thickBot="1" x14ac:dyDescent="0.4">
      <c r="A158" s="13" t="s">
        <v>113</v>
      </c>
      <c r="B158" s="13"/>
      <c r="C158" s="13" t="s">
        <v>152</v>
      </c>
      <c r="D158" s="13" t="s">
        <v>153</v>
      </c>
      <c r="E158" s="25">
        <v>5.7333000000000002E-2</v>
      </c>
      <c r="F158" s="21">
        <v>44874</v>
      </c>
      <c r="G158" s="13">
        <v>0.88771990740740747</v>
      </c>
      <c r="H158" s="25">
        <v>68.007000000000005</v>
      </c>
      <c r="I158" s="9"/>
      <c r="J158" s="9" t="s">
        <v>26</v>
      </c>
      <c r="K158" s="22">
        <v>15</v>
      </c>
      <c r="L158" s="9">
        <v>2.5379999999999998</v>
      </c>
      <c r="M158" s="25">
        <v>61.798000000000002</v>
      </c>
      <c r="N158" s="9"/>
      <c r="O158" s="9" t="s">
        <v>26</v>
      </c>
      <c r="P158" s="22">
        <v>4.3228</v>
      </c>
      <c r="Q158" s="9">
        <v>2.9870000000000001</v>
      </c>
      <c r="R158" s="13"/>
      <c r="S158" s="9"/>
      <c r="T158" s="9"/>
      <c r="U158" s="9" t="s">
        <v>49</v>
      </c>
      <c r="V158" s="22">
        <v>0.13538</v>
      </c>
      <c r="W158" s="25">
        <v>3.2242000000000002</v>
      </c>
      <c r="X158" s="9"/>
      <c r="Y158" s="9" t="s">
        <v>26</v>
      </c>
      <c r="Z158" s="22">
        <v>0.72931999999999997</v>
      </c>
      <c r="AA158" s="9">
        <v>0.65849999999999997</v>
      </c>
      <c r="AB158" s="25">
        <v>3.7321</v>
      </c>
      <c r="AC158" s="9"/>
      <c r="AD158" s="9" t="s">
        <v>26</v>
      </c>
      <c r="AE158" s="22">
        <v>0.34284999999999999</v>
      </c>
      <c r="AF158" s="9">
        <v>0.30470000000000003</v>
      </c>
      <c r="AG158" s="13"/>
      <c r="AH158" s="9"/>
      <c r="AI158" s="9"/>
      <c r="AJ158" s="9" t="s">
        <v>49</v>
      </c>
      <c r="AK158" s="22">
        <v>1.6087</v>
      </c>
      <c r="AL158" s="25">
        <v>9.8544</v>
      </c>
      <c r="AM158" s="9"/>
      <c r="AN158" s="9" t="s">
        <v>26</v>
      </c>
      <c r="AO158" s="22">
        <v>0.62514999999999998</v>
      </c>
      <c r="AP158" s="9">
        <v>0.45100000000000001</v>
      </c>
      <c r="AQ158" s="25">
        <v>9.6491000000000007</v>
      </c>
      <c r="AR158" s="9"/>
      <c r="AS158" s="9" t="s">
        <v>26</v>
      </c>
      <c r="AT158" s="22">
        <v>0.78776999999999997</v>
      </c>
      <c r="AU158" s="9">
        <v>0.5373</v>
      </c>
      <c r="AV158" s="13"/>
      <c r="AW158" s="9"/>
      <c r="AX158" s="9"/>
      <c r="AY158" s="9" t="s">
        <v>49</v>
      </c>
      <c r="AZ158" s="22">
        <v>4.1346999999999996</v>
      </c>
      <c r="BA158" s="25">
        <v>1.9827999999999999</v>
      </c>
      <c r="BB158" s="9"/>
      <c r="BC158" s="9" t="s">
        <v>26</v>
      </c>
      <c r="BD158" s="22">
        <v>0.29704000000000003</v>
      </c>
      <c r="BE158" s="9">
        <v>0.23980000000000001</v>
      </c>
      <c r="BF158" s="25">
        <v>20.082999999999998</v>
      </c>
      <c r="BG158" s="9"/>
      <c r="BH158" s="9" t="s">
        <v>26</v>
      </c>
      <c r="BI158" s="22">
        <v>3.2673000000000001</v>
      </c>
      <c r="BJ158" s="12">
        <v>2.734</v>
      </c>
    </row>
    <row r="159" spans="1:62" ht="15" thickBot="1" x14ac:dyDescent="0.4">
      <c r="A159" s="13" t="s">
        <v>114</v>
      </c>
      <c r="B159" s="13"/>
      <c r="C159" s="13" t="s">
        <v>152</v>
      </c>
      <c r="D159" s="13" t="s">
        <v>153</v>
      </c>
      <c r="E159" s="25">
        <v>5.7997E-2</v>
      </c>
      <c r="F159" s="21">
        <v>44874</v>
      </c>
      <c r="G159" s="13">
        <v>1.0316666666666665</v>
      </c>
      <c r="H159" s="11"/>
      <c r="I159" s="10"/>
      <c r="J159" s="10"/>
      <c r="K159" s="10" t="s">
        <v>49</v>
      </c>
      <c r="L159" s="18">
        <v>4.3682999999999996</v>
      </c>
      <c r="M159" s="26">
        <v>26.317</v>
      </c>
      <c r="N159" s="10"/>
      <c r="O159" s="10" t="s">
        <v>26</v>
      </c>
      <c r="P159" s="18">
        <v>2.4733000000000001</v>
      </c>
      <c r="Q159" s="10">
        <v>2.0680000000000001</v>
      </c>
      <c r="R159" s="11"/>
      <c r="S159" s="10"/>
      <c r="T159" s="10"/>
      <c r="U159" s="10" t="s">
        <v>49</v>
      </c>
      <c r="V159" s="18">
        <v>0.12037</v>
      </c>
      <c r="W159" s="26">
        <v>6.3814000000000002</v>
      </c>
      <c r="X159" s="10"/>
      <c r="Y159" s="10" t="s">
        <v>26</v>
      </c>
      <c r="Z159" s="18">
        <v>0.97265999999999997</v>
      </c>
      <c r="AA159" s="10">
        <v>0.71250000000000002</v>
      </c>
      <c r="AB159" s="26">
        <v>4.2690999999999999</v>
      </c>
      <c r="AC159" s="10"/>
      <c r="AD159" s="10" t="s">
        <v>26</v>
      </c>
      <c r="AE159" s="18">
        <v>0.33955000000000002</v>
      </c>
      <c r="AF159" s="10">
        <v>0.2848</v>
      </c>
      <c r="AG159" s="26">
        <v>2.8313000000000001</v>
      </c>
      <c r="AH159" s="10"/>
      <c r="AI159" s="10" t="s">
        <v>26</v>
      </c>
      <c r="AJ159" s="18">
        <v>1.6673</v>
      </c>
      <c r="AK159" s="10">
        <v>1.794</v>
      </c>
      <c r="AL159" s="26">
        <v>9.3047000000000004</v>
      </c>
      <c r="AM159" s="10"/>
      <c r="AN159" s="10" t="s">
        <v>26</v>
      </c>
      <c r="AO159" s="18">
        <v>0.76034999999999997</v>
      </c>
      <c r="AP159" s="10">
        <v>0.52680000000000005</v>
      </c>
      <c r="AQ159" s="26">
        <v>8.8321000000000005</v>
      </c>
      <c r="AR159" s="10"/>
      <c r="AS159" s="10" t="s">
        <v>26</v>
      </c>
      <c r="AT159" s="18">
        <v>0.66823999999999995</v>
      </c>
      <c r="AU159" s="10">
        <v>0.46010000000000001</v>
      </c>
      <c r="AV159" s="11"/>
      <c r="AW159" s="10"/>
      <c r="AX159" s="10"/>
      <c r="AY159" s="10" t="s">
        <v>49</v>
      </c>
      <c r="AZ159" s="18">
        <v>3.5209999999999999</v>
      </c>
      <c r="BA159" s="26">
        <v>2.1865999999999999</v>
      </c>
      <c r="BB159" s="10"/>
      <c r="BC159" s="10" t="s">
        <v>26</v>
      </c>
      <c r="BD159" s="18">
        <v>0.31716</v>
      </c>
      <c r="BE159" s="10">
        <v>0.24490000000000001</v>
      </c>
      <c r="BF159" s="26">
        <v>12.717000000000001</v>
      </c>
      <c r="BG159" s="10"/>
      <c r="BH159" s="10" t="s">
        <v>26</v>
      </c>
      <c r="BI159" s="18">
        <v>2.5657999999999999</v>
      </c>
      <c r="BJ159" s="24">
        <v>2.302</v>
      </c>
    </row>
    <row r="160" spans="1:62" ht="15" thickBot="1" x14ac:dyDescent="0.4">
      <c r="A160" s="10" t="s">
        <v>115</v>
      </c>
      <c r="B160" s="10"/>
      <c r="C160" s="11" t="s">
        <v>152</v>
      </c>
      <c r="D160" s="11" t="s">
        <v>153</v>
      </c>
      <c r="E160" s="26">
        <v>5.9336E-2</v>
      </c>
      <c r="F160" s="20">
        <v>44875</v>
      </c>
      <c r="G160" s="11">
        <v>1.0690162037037039</v>
      </c>
      <c r="H160" s="14"/>
      <c r="I160" s="15"/>
      <c r="J160" s="15"/>
      <c r="K160" s="15" t="s">
        <v>49</v>
      </c>
      <c r="L160" s="16">
        <v>4.2625999999999999</v>
      </c>
      <c r="M160" s="28">
        <v>35.741</v>
      </c>
      <c r="N160" s="15"/>
      <c r="O160" s="15" t="s">
        <v>26</v>
      </c>
      <c r="P160" s="16">
        <v>3.5644</v>
      </c>
      <c r="Q160" s="15">
        <v>2.6779999999999999</v>
      </c>
      <c r="R160" s="14"/>
      <c r="S160" s="15"/>
      <c r="T160" s="15"/>
      <c r="U160" s="15" t="s">
        <v>49</v>
      </c>
      <c r="V160" s="16">
        <v>0.12241</v>
      </c>
      <c r="W160" s="28">
        <v>4.9305000000000003</v>
      </c>
      <c r="X160" s="15"/>
      <c r="Y160" s="15" t="s">
        <v>26</v>
      </c>
      <c r="Z160" s="16">
        <v>0.74073999999999995</v>
      </c>
      <c r="AA160" s="15">
        <v>0.5998</v>
      </c>
      <c r="AB160" s="28">
        <v>3.7065999999999999</v>
      </c>
      <c r="AC160" s="15"/>
      <c r="AD160" s="15" t="s">
        <v>26</v>
      </c>
      <c r="AE160" s="16">
        <v>0.31707999999999997</v>
      </c>
      <c r="AF160" s="15">
        <v>0.27810000000000001</v>
      </c>
      <c r="AG160" s="14"/>
      <c r="AH160" s="15"/>
      <c r="AI160" s="15"/>
      <c r="AJ160" s="15" t="s">
        <v>49</v>
      </c>
      <c r="AK160" s="16">
        <v>1.4291</v>
      </c>
      <c r="AL160" s="28">
        <v>10.289</v>
      </c>
      <c r="AM160" s="15"/>
      <c r="AN160" s="15" t="s">
        <v>26</v>
      </c>
      <c r="AO160" s="16">
        <v>0.68859999999999999</v>
      </c>
      <c r="AP160" s="15">
        <v>0.4531</v>
      </c>
      <c r="AQ160" s="28">
        <v>8.6821999999999999</v>
      </c>
      <c r="AR160" s="15"/>
      <c r="AS160" s="15" t="s">
        <v>26</v>
      </c>
      <c r="AT160" s="16">
        <v>0.61926000000000003</v>
      </c>
      <c r="AU160" s="15">
        <v>0.435</v>
      </c>
      <c r="AV160" s="14"/>
      <c r="AW160" s="15"/>
      <c r="AX160" s="15"/>
      <c r="AY160" s="15" t="s">
        <v>49</v>
      </c>
      <c r="AZ160" s="16">
        <v>3.6362999999999999</v>
      </c>
      <c r="BA160" s="28">
        <v>1.8703000000000001</v>
      </c>
      <c r="BB160" s="15"/>
      <c r="BC160" s="15" t="s">
        <v>26</v>
      </c>
      <c r="BD160" s="16">
        <v>0.29009000000000001</v>
      </c>
      <c r="BE160" s="15">
        <v>0.22770000000000001</v>
      </c>
      <c r="BF160" s="28">
        <v>17.975000000000001</v>
      </c>
      <c r="BG160" s="15"/>
      <c r="BH160" s="15" t="s">
        <v>26</v>
      </c>
      <c r="BI160" s="16">
        <v>2.6493000000000002</v>
      </c>
      <c r="BJ160" s="27">
        <v>2.2959999999999998</v>
      </c>
    </row>
    <row r="161" spans="1:62" ht="15" thickBot="1" x14ac:dyDescent="0.4"/>
    <row r="162" spans="1:62" ht="15" thickBot="1" x14ac:dyDescent="0.4">
      <c r="H162" s="13" t="s">
        <v>18</v>
      </c>
      <c r="I162" s="9" t="s">
        <v>24</v>
      </c>
      <c r="J162" s="9"/>
      <c r="K162" s="9"/>
      <c r="L162" s="9"/>
      <c r="M162" s="13" t="s">
        <v>1</v>
      </c>
      <c r="N162" s="9" t="s">
        <v>23</v>
      </c>
      <c r="O162" s="9"/>
      <c r="P162" s="9"/>
      <c r="Q162" s="9"/>
      <c r="R162" s="13" t="s">
        <v>2</v>
      </c>
      <c r="S162" s="9" t="s">
        <v>41</v>
      </c>
      <c r="T162" s="9"/>
      <c r="U162" s="9"/>
      <c r="V162" s="9"/>
      <c r="W162" s="13" t="s">
        <v>7</v>
      </c>
      <c r="X162" s="9" t="s">
        <v>50</v>
      </c>
      <c r="Y162" s="9"/>
      <c r="Z162" s="9"/>
      <c r="AA162" s="9"/>
      <c r="AB162" s="13" t="s">
        <v>16</v>
      </c>
      <c r="AC162" s="9" t="s">
        <v>51</v>
      </c>
      <c r="AD162" s="9"/>
      <c r="AE162" s="9"/>
      <c r="AF162" s="9"/>
      <c r="AG162" s="13" t="s">
        <v>17</v>
      </c>
      <c r="AH162" s="9" t="s">
        <v>52</v>
      </c>
      <c r="AI162" s="9"/>
      <c r="AJ162" s="9"/>
      <c r="AK162" s="9"/>
      <c r="AL162" s="13" t="s">
        <v>19</v>
      </c>
      <c r="AM162" s="9" t="s">
        <v>53</v>
      </c>
      <c r="AN162" s="9"/>
      <c r="AO162" s="9"/>
      <c r="AP162" s="9"/>
      <c r="AQ162" s="13" t="s">
        <v>21</v>
      </c>
      <c r="AR162" s="9" t="s">
        <v>54</v>
      </c>
      <c r="AS162" s="9"/>
      <c r="AT162" s="9"/>
      <c r="AU162" s="9"/>
      <c r="AV162" s="13" t="s">
        <v>56</v>
      </c>
      <c r="AW162" s="9" t="s">
        <v>57</v>
      </c>
      <c r="AX162" s="9"/>
      <c r="AY162" s="9"/>
      <c r="AZ162" s="9"/>
      <c r="BA162" s="13" t="s">
        <v>60</v>
      </c>
      <c r="BB162" s="9" t="s">
        <v>61</v>
      </c>
      <c r="BC162" s="9"/>
      <c r="BD162" s="9"/>
      <c r="BE162" s="9"/>
      <c r="BF162" s="13" t="s">
        <v>62</v>
      </c>
      <c r="BG162" s="9" t="s">
        <v>63</v>
      </c>
      <c r="BH162" s="9"/>
      <c r="BI162" s="9"/>
      <c r="BJ162" s="12"/>
    </row>
    <row r="163" spans="1:62" ht="15" thickBot="1" x14ac:dyDescent="0.4">
      <c r="A163" s="13" t="s">
        <v>30</v>
      </c>
      <c r="B163" s="13"/>
      <c r="C163" s="13" t="s">
        <v>29</v>
      </c>
      <c r="D163" s="13" t="s">
        <v>31</v>
      </c>
      <c r="E163" s="13" t="s">
        <v>43</v>
      </c>
      <c r="F163" s="13" t="s">
        <v>25</v>
      </c>
      <c r="G163" s="13" t="s">
        <v>28</v>
      </c>
      <c r="H163" s="13" t="s">
        <v>44</v>
      </c>
      <c r="I163" s="9" t="s">
        <v>45</v>
      </c>
      <c r="J163" s="9"/>
      <c r="K163" s="9" t="s">
        <v>46</v>
      </c>
      <c r="L163" s="9" t="s">
        <v>47</v>
      </c>
      <c r="M163" s="13" t="s">
        <v>44</v>
      </c>
      <c r="N163" s="9" t="s">
        <v>45</v>
      </c>
      <c r="O163" s="9"/>
      <c r="P163" s="9" t="s">
        <v>46</v>
      </c>
      <c r="Q163" s="9" t="s">
        <v>47</v>
      </c>
      <c r="R163" s="13" t="s">
        <v>44</v>
      </c>
      <c r="S163" s="9" t="s">
        <v>45</v>
      </c>
      <c r="T163" s="9"/>
      <c r="U163" s="9" t="s">
        <v>46</v>
      </c>
      <c r="V163" s="9" t="s">
        <v>47</v>
      </c>
      <c r="W163" s="13" t="s">
        <v>44</v>
      </c>
      <c r="X163" s="9" t="s">
        <v>45</v>
      </c>
      <c r="Y163" s="9"/>
      <c r="Z163" s="9" t="s">
        <v>46</v>
      </c>
      <c r="AA163" s="9" t="s">
        <v>47</v>
      </c>
      <c r="AB163" s="13" t="s">
        <v>44</v>
      </c>
      <c r="AC163" s="9" t="s">
        <v>45</v>
      </c>
      <c r="AD163" s="9"/>
      <c r="AE163" s="9" t="s">
        <v>46</v>
      </c>
      <c r="AF163" s="9" t="s">
        <v>47</v>
      </c>
      <c r="AG163" s="13" t="s">
        <v>44</v>
      </c>
      <c r="AH163" s="9" t="s">
        <v>45</v>
      </c>
      <c r="AI163" s="9"/>
      <c r="AJ163" s="9" t="s">
        <v>46</v>
      </c>
      <c r="AK163" s="9" t="s">
        <v>47</v>
      </c>
      <c r="AL163" s="13" t="s">
        <v>44</v>
      </c>
      <c r="AM163" s="9" t="s">
        <v>45</v>
      </c>
      <c r="AN163" s="9"/>
      <c r="AO163" s="9" t="s">
        <v>46</v>
      </c>
      <c r="AP163" s="9" t="s">
        <v>47</v>
      </c>
      <c r="AQ163" s="13" t="s">
        <v>44</v>
      </c>
      <c r="AR163" s="9" t="s">
        <v>45</v>
      </c>
      <c r="AS163" s="9"/>
      <c r="AT163" s="9" t="s">
        <v>46</v>
      </c>
      <c r="AU163" s="9" t="s">
        <v>47</v>
      </c>
      <c r="AV163" s="13" t="s">
        <v>44</v>
      </c>
      <c r="AW163" s="9" t="s">
        <v>45</v>
      </c>
      <c r="AX163" s="9"/>
      <c r="AY163" s="9" t="s">
        <v>46</v>
      </c>
      <c r="AZ163" s="9" t="s">
        <v>47</v>
      </c>
      <c r="BA163" s="13" t="s">
        <v>44</v>
      </c>
      <c r="BB163" s="9" t="s">
        <v>45</v>
      </c>
      <c r="BC163" s="9"/>
      <c r="BD163" s="9" t="s">
        <v>46</v>
      </c>
      <c r="BE163" s="9" t="s">
        <v>47</v>
      </c>
      <c r="BF163" s="13" t="s">
        <v>44</v>
      </c>
      <c r="BG163" s="9" t="s">
        <v>45</v>
      </c>
      <c r="BH163" s="9"/>
      <c r="BI163" s="9" t="s">
        <v>46</v>
      </c>
      <c r="BJ163" s="12" t="s">
        <v>47</v>
      </c>
    </row>
    <row r="164" spans="1:62" ht="15" thickBot="1" x14ac:dyDescent="0.4">
      <c r="A164" s="13" t="s">
        <v>116</v>
      </c>
      <c r="B164" s="13"/>
      <c r="C164" s="13" t="s">
        <v>152</v>
      </c>
      <c r="D164" s="13" t="s">
        <v>153</v>
      </c>
      <c r="E164" s="25">
        <v>5.6631000000000001E-2</v>
      </c>
      <c r="F164" s="21">
        <v>44876</v>
      </c>
      <c r="G164" s="13">
        <v>2.6114236111111109</v>
      </c>
      <c r="H164" s="26">
        <v>45.811999999999998</v>
      </c>
      <c r="I164" s="10"/>
      <c r="J164" s="10" t="s">
        <v>26</v>
      </c>
      <c r="K164" s="18">
        <v>9.9467999999999996</v>
      </c>
      <c r="L164" s="10">
        <v>1.4450000000000001</v>
      </c>
      <c r="M164" s="26">
        <v>49.936999999999998</v>
      </c>
      <c r="N164" s="10"/>
      <c r="O164" s="10" t="s">
        <v>26</v>
      </c>
      <c r="P164" s="18">
        <v>2.3105000000000002</v>
      </c>
      <c r="Q164" s="10">
        <v>1.4610000000000001</v>
      </c>
      <c r="R164" s="11"/>
      <c r="S164" s="10"/>
      <c r="T164" s="10"/>
      <c r="U164" s="10" t="s">
        <v>49</v>
      </c>
      <c r="V164" s="18">
        <v>8.0780000000000005E-2</v>
      </c>
      <c r="W164" s="26">
        <v>3.7374000000000001</v>
      </c>
      <c r="X164" s="10"/>
      <c r="Y164" s="10" t="s">
        <v>26</v>
      </c>
      <c r="Z164" s="18">
        <v>0.63073999999999997</v>
      </c>
      <c r="AA164" s="10">
        <v>0.49740000000000001</v>
      </c>
      <c r="AB164" s="26">
        <v>2.4849000000000001</v>
      </c>
      <c r="AC164" s="10"/>
      <c r="AD164" s="10" t="s">
        <v>26</v>
      </c>
      <c r="AE164" s="18">
        <v>0.19825999999999999</v>
      </c>
      <c r="AF164" s="10">
        <v>0.17699999999999999</v>
      </c>
      <c r="AG164" s="26">
        <v>5.6677</v>
      </c>
      <c r="AH164" s="10"/>
      <c r="AI164" s="10" t="s">
        <v>26</v>
      </c>
      <c r="AJ164" s="18">
        <v>1.7234</v>
      </c>
      <c r="AK164" s="10">
        <v>1.5780000000000001</v>
      </c>
      <c r="AL164" s="26">
        <v>11.067</v>
      </c>
      <c r="AM164" s="10"/>
      <c r="AN164" s="10" t="s">
        <v>26</v>
      </c>
      <c r="AO164" s="18">
        <v>0.61189000000000004</v>
      </c>
      <c r="AP164" s="10">
        <v>0.37140000000000001</v>
      </c>
      <c r="AQ164" s="26">
        <v>9.2043999999999997</v>
      </c>
      <c r="AR164" s="10"/>
      <c r="AS164" s="10" t="s">
        <v>26</v>
      </c>
      <c r="AT164" s="18">
        <v>0.50153999999999999</v>
      </c>
      <c r="AU164" s="10">
        <v>0.31590000000000001</v>
      </c>
      <c r="AV164" s="26">
        <v>7.2698</v>
      </c>
      <c r="AW164" s="10"/>
      <c r="AX164" s="10" t="s">
        <v>26</v>
      </c>
      <c r="AY164" s="18">
        <v>2.8597000000000001</v>
      </c>
      <c r="AZ164" s="10">
        <v>2.3420000000000001</v>
      </c>
      <c r="BA164" s="26">
        <v>1.1113</v>
      </c>
      <c r="BB164" s="10"/>
      <c r="BC164" s="10" t="s">
        <v>26</v>
      </c>
      <c r="BD164" s="18">
        <v>0.13844999999999999</v>
      </c>
      <c r="BE164" s="10">
        <v>0.13769999999999999</v>
      </c>
      <c r="BF164" s="26">
        <v>14.225</v>
      </c>
      <c r="BG164" s="10"/>
      <c r="BH164" s="10" t="s">
        <v>26</v>
      </c>
      <c r="BI164" s="18">
        <v>1.3580000000000001</v>
      </c>
      <c r="BJ164" s="24">
        <v>1.383</v>
      </c>
    </row>
    <row r="165" spans="1:62" ht="15" thickBot="1" x14ac:dyDescent="0.4">
      <c r="A165" s="10" t="s">
        <v>117</v>
      </c>
      <c r="B165" s="10"/>
      <c r="C165" s="11" t="s">
        <v>152</v>
      </c>
      <c r="D165" s="11" t="s">
        <v>153</v>
      </c>
      <c r="E165" s="26">
        <v>6.1191000000000002E-2</v>
      </c>
      <c r="F165" s="20">
        <v>44879</v>
      </c>
      <c r="G165" s="11">
        <v>0.96670138888888879</v>
      </c>
      <c r="H165" s="28">
        <v>54.218000000000004</v>
      </c>
      <c r="I165" s="15"/>
      <c r="J165" s="15" t="s">
        <v>26</v>
      </c>
      <c r="K165" s="16">
        <v>11.986000000000001</v>
      </c>
      <c r="L165" s="15">
        <v>2.1160000000000001</v>
      </c>
      <c r="M165" s="28">
        <v>32.173999999999999</v>
      </c>
      <c r="N165" s="15"/>
      <c r="O165" s="15" t="s">
        <v>26</v>
      </c>
      <c r="P165" s="16">
        <v>2.3761000000000001</v>
      </c>
      <c r="Q165" s="15">
        <v>2.0920000000000001</v>
      </c>
      <c r="R165" s="14"/>
      <c r="S165" s="15"/>
      <c r="T165" s="15"/>
      <c r="U165" s="15" t="s">
        <v>49</v>
      </c>
      <c r="V165" s="16">
        <v>0.12088</v>
      </c>
      <c r="W165" s="28">
        <v>4.9779</v>
      </c>
      <c r="X165" s="15"/>
      <c r="Y165" s="15" t="s">
        <v>26</v>
      </c>
      <c r="Z165" s="16">
        <v>0.82899999999999996</v>
      </c>
      <c r="AA165" s="15">
        <v>0.66210000000000002</v>
      </c>
      <c r="AB165" s="28">
        <v>3.3079999999999998</v>
      </c>
      <c r="AC165" s="15"/>
      <c r="AD165" s="15" t="s">
        <v>26</v>
      </c>
      <c r="AE165" s="16">
        <v>0.31577</v>
      </c>
      <c r="AF165" s="15">
        <v>0.2893</v>
      </c>
      <c r="AG165" s="28">
        <v>9.3323999999999998</v>
      </c>
      <c r="AH165" s="15"/>
      <c r="AI165" s="15" t="s">
        <v>26</v>
      </c>
      <c r="AJ165" s="16">
        <v>2.4937999999999998</v>
      </c>
      <c r="AK165" s="15">
        <v>2.2450000000000001</v>
      </c>
      <c r="AL165" s="28">
        <v>10.804</v>
      </c>
      <c r="AM165" s="15"/>
      <c r="AN165" s="15" t="s">
        <v>26</v>
      </c>
      <c r="AO165" s="16">
        <v>0.75727</v>
      </c>
      <c r="AP165" s="15">
        <v>0.48880000000000001</v>
      </c>
      <c r="AQ165" s="28">
        <v>7.5218999999999996</v>
      </c>
      <c r="AR165" s="15"/>
      <c r="AS165" s="15" t="s">
        <v>26</v>
      </c>
      <c r="AT165" s="16">
        <v>0.72950000000000004</v>
      </c>
      <c r="AU165" s="15">
        <v>0.52029999999999998</v>
      </c>
      <c r="AV165" s="14"/>
      <c r="AW165" s="15"/>
      <c r="AX165" s="15"/>
      <c r="AY165" s="15" t="s">
        <v>49</v>
      </c>
      <c r="AZ165" s="16">
        <v>3.8628999999999998</v>
      </c>
      <c r="BA165" s="28">
        <v>1.7363999999999999</v>
      </c>
      <c r="BB165" s="15"/>
      <c r="BC165" s="15" t="s">
        <v>26</v>
      </c>
      <c r="BD165" s="16">
        <v>0.26168999999999998</v>
      </c>
      <c r="BE165" s="15">
        <v>0.2137</v>
      </c>
      <c r="BF165" s="28">
        <v>14.617000000000001</v>
      </c>
      <c r="BG165" s="15"/>
      <c r="BH165" s="15" t="s">
        <v>26</v>
      </c>
      <c r="BI165" s="16">
        <v>2.2082000000000002</v>
      </c>
      <c r="BJ165" s="27">
        <v>2.032</v>
      </c>
    </row>
    <row r="166" spans="1:62" ht="15" thickBot="1" x14ac:dyDescent="0.4"/>
    <row r="167" spans="1:62" ht="15" thickBot="1" x14ac:dyDescent="0.4">
      <c r="H167" s="13" t="s">
        <v>18</v>
      </c>
      <c r="I167" s="9" t="s">
        <v>24</v>
      </c>
      <c r="J167" s="9"/>
      <c r="K167" s="9"/>
      <c r="L167" s="9"/>
      <c r="M167" s="13" t="s">
        <v>1</v>
      </c>
      <c r="N167" s="9" t="s">
        <v>23</v>
      </c>
      <c r="O167" s="9"/>
      <c r="P167" s="9"/>
      <c r="Q167" s="9"/>
      <c r="R167" s="13" t="s">
        <v>2</v>
      </c>
      <c r="S167" s="9" t="s">
        <v>41</v>
      </c>
      <c r="T167" s="9"/>
      <c r="U167" s="9"/>
      <c r="V167" s="9"/>
      <c r="W167" s="13" t="s">
        <v>7</v>
      </c>
      <c r="X167" s="9" t="s">
        <v>50</v>
      </c>
      <c r="Y167" s="9"/>
      <c r="Z167" s="9"/>
      <c r="AA167" s="9"/>
      <c r="AB167" s="13" t="s">
        <v>16</v>
      </c>
      <c r="AC167" s="9" t="s">
        <v>51</v>
      </c>
      <c r="AD167" s="9"/>
      <c r="AE167" s="9"/>
      <c r="AF167" s="9"/>
      <c r="AG167" s="13" t="s">
        <v>17</v>
      </c>
      <c r="AH167" s="9" t="s">
        <v>52</v>
      </c>
      <c r="AI167" s="9"/>
      <c r="AJ167" s="9"/>
      <c r="AK167" s="9"/>
      <c r="AL167" s="13" t="s">
        <v>19</v>
      </c>
      <c r="AM167" s="9" t="s">
        <v>53</v>
      </c>
      <c r="AN167" s="9"/>
      <c r="AO167" s="9"/>
      <c r="AP167" s="9"/>
      <c r="AQ167" s="13" t="s">
        <v>21</v>
      </c>
      <c r="AR167" s="9" t="s">
        <v>54</v>
      </c>
      <c r="AS167" s="9"/>
      <c r="AT167" s="9"/>
      <c r="AU167" s="9"/>
      <c r="AV167" s="13" t="s">
        <v>56</v>
      </c>
      <c r="AW167" s="9" t="s">
        <v>57</v>
      </c>
      <c r="AX167" s="9"/>
      <c r="AY167" s="9"/>
      <c r="AZ167" s="9"/>
      <c r="BA167" s="13" t="s">
        <v>60</v>
      </c>
      <c r="BB167" s="9" t="s">
        <v>61</v>
      </c>
      <c r="BC167" s="9"/>
      <c r="BD167" s="9"/>
      <c r="BE167" s="9"/>
      <c r="BF167" s="13" t="s">
        <v>62</v>
      </c>
      <c r="BG167" s="9" t="s">
        <v>63</v>
      </c>
      <c r="BH167" s="9"/>
      <c r="BI167" s="9"/>
      <c r="BJ167" s="12"/>
    </row>
    <row r="168" spans="1:62" ht="15" thickBot="1" x14ac:dyDescent="0.4">
      <c r="A168" s="13" t="s">
        <v>30</v>
      </c>
      <c r="B168" s="13"/>
      <c r="C168" s="13" t="s">
        <v>29</v>
      </c>
      <c r="D168" s="13" t="s">
        <v>31</v>
      </c>
      <c r="E168" s="13" t="s">
        <v>27</v>
      </c>
      <c r="F168" s="13" t="s">
        <v>25</v>
      </c>
      <c r="G168" s="13" t="s">
        <v>28</v>
      </c>
      <c r="H168" s="13" t="s">
        <v>33</v>
      </c>
      <c r="I168" s="9" t="s">
        <v>34</v>
      </c>
      <c r="J168" s="9"/>
      <c r="K168" s="9" t="s">
        <v>35</v>
      </c>
      <c r="L168" s="9" t="s">
        <v>36</v>
      </c>
      <c r="M168" s="13" t="s">
        <v>33</v>
      </c>
      <c r="N168" s="9" t="s">
        <v>34</v>
      </c>
      <c r="O168" s="9"/>
      <c r="P168" s="9" t="s">
        <v>35</v>
      </c>
      <c r="Q168" s="9" t="s">
        <v>36</v>
      </c>
      <c r="R168" s="13" t="s">
        <v>33</v>
      </c>
      <c r="S168" s="9" t="s">
        <v>34</v>
      </c>
      <c r="T168" s="9"/>
      <c r="U168" s="9" t="s">
        <v>35</v>
      </c>
      <c r="V168" s="9" t="s">
        <v>36</v>
      </c>
      <c r="W168" s="13" t="s">
        <v>33</v>
      </c>
      <c r="X168" s="9" t="s">
        <v>34</v>
      </c>
      <c r="Y168" s="9"/>
      <c r="Z168" s="9" t="s">
        <v>35</v>
      </c>
      <c r="AA168" s="9" t="s">
        <v>36</v>
      </c>
      <c r="AB168" s="13" t="s">
        <v>33</v>
      </c>
      <c r="AC168" s="9" t="s">
        <v>34</v>
      </c>
      <c r="AD168" s="9"/>
      <c r="AE168" s="9" t="s">
        <v>35</v>
      </c>
      <c r="AF168" s="9" t="s">
        <v>36</v>
      </c>
      <c r="AG168" s="13" t="s">
        <v>33</v>
      </c>
      <c r="AH168" s="9" t="s">
        <v>34</v>
      </c>
      <c r="AI168" s="9"/>
      <c r="AJ168" s="9" t="s">
        <v>35</v>
      </c>
      <c r="AK168" s="9" t="s">
        <v>36</v>
      </c>
      <c r="AL168" s="13" t="s">
        <v>33</v>
      </c>
      <c r="AM168" s="9" t="s">
        <v>34</v>
      </c>
      <c r="AN168" s="9"/>
      <c r="AO168" s="9" t="s">
        <v>35</v>
      </c>
      <c r="AP168" s="9" t="s">
        <v>36</v>
      </c>
      <c r="AQ168" s="13" t="s">
        <v>33</v>
      </c>
      <c r="AR168" s="9" t="s">
        <v>34</v>
      </c>
      <c r="AS168" s="9"/>
      <c r="AT168" s="9" t="s">
        <v>35</v>
      </c>
      <c r="AU168" s="9" t="s">
        <v>36</v>
      </c>
      <c r="AV168" s="13" t="s">
        <v>33</v>
      </c>
      <c r="AW168" s="9" t="s">
        <v>34</v>
      </c>
      <c r="AX168" s="9"/>
      <c r="AY168" s="9" t="s">
        <v>35</v>
      </c>
      <c r="AZ168" s="9" t="s">
        <v>36</v>
      </c>
      <c r="BA168" s="13" t="s">
        <v>33</v>
      </c>
      <c r="BB168" s="9" t="s">
        <v>34</v>
      </c>
      <c r="BC168" s="9"/>
      <c r="BD168" s="9" t="s">
        <v>35</v>
      </c>
      <c r="BE168" s="9" t="s">
        <v>36</v>
      </c>
      <c r="BF168" s="13" t="s">
        <v>33</v>
      </c>
      <c r="BG168" s="9" t="s">
        <v>34</v>
      </c>
      <c r="BH168" s="9"/>
      <c r="BI168" s="9" t="s">
        <v>35</v>
      </c>
      <c r="BJ168" s="12" t="s">
        <v>36</v>
      </c>
    </row>
    <row r="169" spans="1:62" ht="15" thickBot="1" x14ac:dyDescent="0.4">
      <c r="A169" s="13" t="s">
        <v>154</v>
      </c>
      <c r="B169" s="13"/>
      <c r="C169" s="13" t="s">
        <v>42</v>
      </c>
      <c r="D169" s="13" t="s">
        <v>76</v>
      </c>
      <c r="E169" s="13">
        <v>5.3353999999999999E-2</v>
      </c>
      <c r="F169" s="21">
        <v>44874</v>
      </c>
      <c r="G169" s="13">
        <v>1.0712615740740741</v>
      </c>
      <c r="H169" s="25">
        <v>102.08</v>
      </c>
      <c r="I169" s="9"/>
      <c r="J169" s="9" t="s">
        <v>26</v>
      </c>
      <c r="K169" s="22">
        <v>6.0618999999999996</v>
      </c>
      <c r="L169" s="22">
        <v>13.859500000000001</v>
      </c>
      <c r="M169" s="25">
        <v>49.5</v>
      </c>
      <c r="N169" s="9"/>
      <c r="O169" s="9" t="s">
        <v>26</v>
      </c>
      <c r="P169" s="22">
        <v>7.5549999999999997</v>
      </c>
      <c r="Q169" s="22">
        <v>15.026</v>
      </c>
      <c r="R169" s="13"/>
      <c r="S169" s="9"/>
      <c r="T169" s="9" t="s">
        <v>26</v>
      </c>
      <c r="U169" s="9"/>
      <c r="V169" s="22">
        <v>0.83157800000000004</v>
      </c>
      <c r="W169" s="25">
        <v>4.6509999999999998</v>
      </c>
      <c r="X169" s="9"/>
      <c r="Y169" s="9" t="s">
        <v>26</v>
      </c>
      <c r="Z169" s="22">
        <v>0.88875000000000004</v>
      </c>
      <c r="AA169" s="22">
        <v>2.9581599999999999</v>
      </c>
      <c r="AB169" s="25">
        <v>9.6166</v>
      </c>
      <c r="AC169" s="9"/>
      <c r="AD169" s="9" t="s">
        <v>26</v>
      </c>
      <c r="AE169" s="22">
        <v>0.41044000000000003</v>
      </c>
      <c r="AF169" s="22">
        <v>0.92613400000000001</v>
      </c>
      <c r="AG169" s="13"/>
      <c r="AH169" s="9"/>
      <c r="AI169" s="9" t="s">
        <v>26</v>
      </c>
      <c r="AJ169" s="9"/>
      <c r="AK169" s="22">
        <v>11.463100000000001</v>
      </c>
      <c r="AL169" s="25">
        <v>10.587999999999999</v>
      </c>
      <c r="AM169" s="9"/>
      <c r="AN169" s="9" t="s">
        <v>26</v>
      </c>
      <c r="AO169" s="22">
        <v>0.52471000000000001</v>
      </c>
      <c r="AP169" s="22">
        <v>2.8010999999999999</v>
      </c>
      <c r="AQ169" s="25">
        <v>12.037000000000001</v>
      </c>
      <c r="AR169" s="9"/>
      <c r="AS169" s="9" t="s">
        <v>26</v>
      </c>
      <c r="AT169" s="22">
        <v>1.3478000000000001</v>
      </c>
      <c r="AU169" s="22">
        <v>2.9114399999999998</v>
      </c>
      <c r="AV169" s="25">
        <v>37.703000000000003</v>
      </c>
      <c r="AW169" s="9"/>
      <c r="AX169" s="9" t="s">
        <v>26</v>
      </c>
      <c r="AY169" s="22">
        <v>4.7954999999999997</v>
      </c>
      <c r="AZ169" s="22">
        <v>20.634499999999999</v>
      </c>
      <c r="BA169" s="25">
        <v>2.996</v>
      </c>
      <c r="BB169" s="9"/>
      <c r="BC169" s="9" t="s">
        <v>26</v>
      </c>
      <c r="BD169" s="22">
        <v>0.19821</v>
      </c>
      <c r="BE169" s="22">
        <v>1.12483</v>
      </c>
      <c r="BF169" s="25">
        <v>22.940999999999999</v>
      </c>
      <c r="BG169" s="9"/>
      <c r="BH169" s="9" t="s">
        <v>26</v>
      </c>
      <c r="BI169" s="22">
        <v>10.191000000000001</v>
      </c>
      <c r="BJ169" s="23">
        <v>15.9884</v>
      </c>
    </row>
    <row r="170" spans="1:62" ht="15" thickBot="1" x14ac:dyDescent="0.4">
      <c r="A170" s="13" t="s">
        <v>155</v>
      </c>
      <c r="B170" s="13"/>
      <c r="C170" s="13" t="s">
        <v>42</v>
      </c>
      <c r="D170" s="13" t="s">
        <v>76</v>
      </c>
      <c r="E170" s="13">
        <v>5.9218E-2</v>
      </c>
      <c r="F170" s="21">
        <v>44875</v>
      </c>
      <c r="G170" s="13">
        <v>1.1058680555555556</v>
      </c>
      <c r="H170" s="25">
        <v>45.801000000000002</v>
      </c>
      <c r="I170" s="9"/>
      <c r="J170" s="9" t="s">
        <v>26</v>
      </c>
      <c r="K170" s="22">
        <v>7.4688999999999997</v>
      </c>
      <c r="L170" s="22">
        <v>8.4642800000000005</v>
      </c>
      <c r="M170" s="25">
        <v>33.393999999999998</v>
      </c>
      <c r="N170" s="9"/>
      <c r="O170" s="9" t="s">
        <v>26</v>
      </c>
      <c r="P170" s="22">
        <v>5.7453000000000003</v>
      </c>
      <c r="Q170" s="22">
        <v>8.2010100000000001</v>
      </c>
      <c r="R170" s="13"/>
      <c r="S170" s="9"/>
      <c r="T170" s="9" t="s">
        <v>26</v>
      </c>
      <c r="U170" s="9"/>
      <c r="V170" s="22">
        <v>0.69692299999999996</v>
      </c>
      <c r="W170" s="25">
        <v>2.2970999999999999</v>
      </c>
      <c r="X170" s="9"/>
      <c r="Y170" s="9" t="s">
        <v>26</v>
      </c>
      <c r="Z170" s="22">
        <v>0.32234000000000002</v>
      </c>
      <c r="AA170" s="22">
        <v>1.7175100000000001</v>
      </c>
      <c r="AB170" s="25">
        <v>3.3353000000000002</v>
      </c>
      <c r="AC170" s="9"/>
      <c r="AD170" s="9" t="s">
        <v>26</v>
      </c>
      <c r="AE170" s="22">
        <v>0.58984000000000003</v>
      </c>
      <c r="AF170" s="22">
        <v>0.77571000000000001</v>
      </c>
      <c r="AG170" s="13"/>
      <c r="AH170" s="9"/>
      <c r="AI170" s="9" t="s">
        <v>26</v>
      </c>
      <c r="AJ170" s="9"/>
      <c r="AK170" s="22">
        <v>9.2975999999999992</v>
      </c>
      <c r="AL170" s="25">
        <v>0.42455999999999999</v>
      </c>
      <c r="AM170" s="9"/>
      <c r="AN170" s="9" t="s">
        <v>26</v>
      </c>
      <c r="AO170" s="22">
        <v>0.36199999999999999</v>
      </c>
      <c r="AP170" s="22">
        <v>2.3201100000000001</v>
      </c>
      <c r="AQ170" s="25">
        <v>0.63968000000000003</v>
      </c>
      <c r="AR170" s="9"/>
      <c r="AS170" s="9" t="s">
        <v>26</v>
      </c>
      <c r="AT170" s="22">
        <v>0.99741999999999997</v>
      </c>
      <c r="AU170" s="22">
        <v>2.4248500000000002</v>
      </c>
      <c r="AV170" s="25">
        <v>14.981999999999999</v>
      </c>
      <c r="AW170" s="9"/>
      <c r="AX170" s="9" t="s">
        <v>26</v>
      </c>
      <c r="AY170" s="22">
        <v>2.5367999999999999</v>
      </c>
      <c r="AZ170" s="22">
        <v>30.0091</v>
      </c>
      <c r="BA170" s="25">
        <v>0.9798</v>
      </c>
      <c r="BB170" s="9"/>
      <c r="BC170" s="9" t="s">
        <v>26</v>
      </c>
      <c r="BD170" s="22">
        <v>0.22511999999999999</v>
      </c>
      <c r="BE170" s="22">
        <v>0.68951399999999996</v>
      </c>
      <c r="BF170" s="25">
        <v>10.677</v>
      </c>
      <c r="BG170" s="9"/>
      <c r="BH170" s="9" t="s">
        <v>26</v>
      </c>
      <c r="BI170" s="22">
        <v>1.6226</v>
      </c>
      <c r="BJ170" s="23">
        <v>10.4918</v>
      </c>
    </row>
    <row r="171" spans="1:62" ht="15" thickBot="1" x14ac:dyDescent="0.4">
      <c r="A171" s="13" t="s">
        <v>156</v>
      </c>
      <c r="B171" s="13"/>
      <c r="C171" s="13" t="s">
        <v>42</v>
      </c>
      <c r="D171" s="13" t="s">
        <v>76</v>
      </c>
      <c r="E171" s="13">
        <v>5.8744999999999999E-2</v>
      </c>
      <c r="F171" s="21">
        <v>44876</v>
      </c>
      <c r="G171" s="13">
        <v>2.6902199074074074</v>
      </c>
      <c r="H171" s="25">
        <v>34.731999999999999</v>
      </c>
      <c r="I171" s="9"/>
      <c r="J171" s="9" t="s">
        <v>26</v>
      </c>
      <c r="K171" s="22">
        <v>3.8647</v>
      </c>
      <c r="L171" s="22">
        <v>7.5520199999999997</v>
      </c>
      <c r="M171" s="25">
        <v>34.049999999999997</v>
      </c>
      <c r="N171" s="9"/>
      <c r="O171" s="9" t="s">
        <v>26</v>
      </c>
      <c r="P171" s="22">
        <v>1.4031</v>
      </c>
      <c r="Q171" s="22">
        <v>7.9513299999999996</v>
      </c>
      <c r="R171" s="13"/>
      <c r="S171" s="9"/>
      <c r="T171" s="9" t="s">
        <v>26</v>
      </c>
      <c r="U171" s="9"/>
      <c r="V171" s="22">
        <v>0.45364599999999999</v>
      </c>
      <c r="W171" s="25">
        <v>2.0882000000000001</v>
      </c>
      <c r="X171" s="9"/>
      <c r="Y171" s="9" t="s">
        <v>26</v>
      </c>
      <c r="Z171" s="22">
        <v>0.21173</v>
      </c>
      <c r="AA171" s="22">
        <v>1.4221900000000001</v>
      </c>
      <c r="AB171" s="25">
        <v>2.4725999999999999</v>
      </c>
      <c r="AC171" s="9"/>
      <c r="AD171" s="9" t="s">
        <v>26</v>
      </c>
      <c r="AE171" s="22">
        <v>0.42197000000000001</v>
      </c>
      <c r="AF171" s="22">
        <v>0.477628</v>
      </c>
      <c r="AG171" s="13"/>
      <c r="AH171" s="9"/>
      <c r="AI171" s="9" t="s">
        <v>26</v>
      </c>
      <c r="AJ171" s="9"/>
      <c r="AK171" s="22">
        <v>5.9595099999999999</v>
      </c>
      <c r="AL171" s="25">
        <v>0.50958000000000003</v>
      </c>
      <c r="AM171" s="9"/>
      <c r="AN171" s="9" t="s">
        <v>26</v>
      </c>
      <c r="AO171" s="22">
        <v>0.72506999999999999</v>
      </c>
      <c r="AP171" s="22">
        <v>1.63811</v>
      </c>
      <c r="AQ171" s="25">
        <v>0.55749000000000004</v>
      </c>
      <c r="AR171" s="9"/>
      <c r="AS171" s="9" t="s">
        <v>26</v>
      </c>
      <c r="AT171" s="22">
        <v>0.68308000000000002</v>
      </c>
      <c r="AU171" s="22">
        <v>1.9130799999999999</v>
      </c>
      <c r="AV171" s="25">
        <v>12.622</v>
      </c>
      <c r="AW171" s="9"/>
      <c r="AX171" s="9" t="s">
        <v>26</v>
      </c>
      <c r="AY171" s="22">
        <v>1.4325000000000001</v>
      </c>
      <c r="AZ171" s="22">
        <v>11.8733</v>
      </c>
      <c r="BA171" s="25">
        <v>0.87475000000000003</v>
      </c>
      <c r="BB171" s="9"/>
      <c r="BC171" s="9" t="s">
        <v>26</v>
      </c>
      <c r="BD171" s="22">
        <v>7.8012999999999999E-2</v>
      </c>
      <c r="BE171" s="22">
        <v>0.51507999999999998</v>
      </c>
      <c r="BF171" s="25">
        <v>9.5824999999999996</v>
      </c>
      <c r="BG171" s="9"/>
      <c r="BH171" s="9" t="s">
        <v>26</v>
      </c>
      <c r="BI171" s="22">
        <v>0.92215999999999998</v>
      </c>
      <c r="BJ171" s="23">
        <v>4.3784900000000002</v>
      </c>
    </row>
    <row r="172" spans="1:62" ht="15" thickBot="1" x14ac:dyDescent="0.4">
      <c r="A172" s="13" t="s">
        <v>157</v>
      </c>
      <c r="B172" s="13"/>
      <c r="C172" s="13" t="s">
        <v>42</v>
      </c>
      <c r="D172" s="13" t="s">
        <v>76</v>
      </c>
      <c r="E172" s="13">
        <v>5.7148999999999998E-2</v>
      </c>
      <c r="F172" s="21">
        <v>44879</v>
      </c>
      <c r="G172" s="13">
        <v>0.99180555555555561</v>
      </c>
      <c r="H172" s="25">
        <v>27.123999999999999</v>
      </c>
      <c r="I172" s="9"/>
      <c r="J172" s="9" t="s">
        <v>26</v>
      </c>
      <c r="K172" s="22">
        <v>2.5506000000000002</v>
      </c>
      <c r="L172" s="22">
        <v>10.7155</v>
      </c>
      <c r="M172" s="25">
        <v>40.92</v>
      </c>
      <c r="N172" s="9"/>
      <c r="O172" s="9" t="s">
        <v>26</v>
      </c>
      <c r="P172" s="22">
        <v>2.327</v>
      </c>
      <c r="Q172" s="22">
        <v>13.9474</v>
      </c>
      <c r="R172" s="13"/>
      <c r="S172" s="9"/>
      <c r="T172" s="9" t="s">
        <v>26</v>
      </c>
      <c r="U172" s="9"/>
      <c r="V172" s="22">
        <v>0.79097099999999998</v>
      </c>
      <c r="W172" s="25">
        <v>2.5402</v>
      </c>
      <c r="X172" s="9"/>
      <c r="Y172" s="9" t="s">
        <v>26</v>
      </c>
      <c r="Z172" s="22">
        <v>0.36460999999999999</v>
      </c>
      <c r="AA172" s="22">
        <v>1.79657</v>
      </c>
      <c r="AB172" s="25">
        <v>2.7871999999999999</v>
      </c>
      <c r="AC172" s="9"/>
      <c r="AD172" s="9" t="s">
        <v>26</v>
      </c>
      <c r="AE172" s="22">
        <v>0.21301</v>
      </c>
      <c r="AF172" s="22">
        <v>0.81306100000000003</v>
      </c>
      <c r="AG172" s="13"/>
      <c r="AH172" s="9"/>
      <c r="AI172" s="9" t="s">
        <v>26</v>
      </c>
      <c r="AJ172" s="9"/>
      <c r="AK172" s="22">
        <v>10.1774</v>
      </c>
      <c r="AL172" s="25">
        <v>0.28358</v>
      </c>
      <c r="AM172" s="9"/>
      <c r="AN172" s="9" t="s">
        <v>26</v>
      </c>
      <c r="AO172" s="22">
        <v>0.39232</v>
      </c>
      <c r="AP172" s="22">
        <v>2.5510899999999999</v>
      </c>
      <c r="AQ172" s="25">
        <v>0.67376000000000003</v>
      </c>
      <c r="AR172" s="9"/>
      <c r="AS172" s="9" t="s">
        <v>26</v>
      </c>
      <c r="AT172" s="22">
        <v>1.0639000000000001</v>
      </c>
      <c r="AU172" s="22">
        <v>2.7030799999999999</v>
      </c>
      <c r="AV172" s="25">
        <v>10.874000000000001</v>
      </c>
      <c r="AW172" s="9"/>
      <c r="AX172" s="9" t="s">
        <v>26</v>
      </c>
      <c r="AY172" s="22">
        <v>2.6019000000000001</v>
      </c>
      <c r="AZ172" s="22">
        <v>33.131300000000003</v>
      </c>
      <c r="BA172" s="25">
        <v>0.85982000000000003</v>
      </c>
      <c r="BB172" s="9"/>
      <c r="BC172" s="9" t="s">
        <v>26</v>
      </c>
      <c r="BD172" s="22">
        <v>0.12964999999999999</v>
      </c>
      <c r="BE172" s="22">
        <v>0.66796100000000003</v>
      </c>
      <c r="BF172" s="25">
        <v>11.353999999999999</v>
      </c>
      <c r="BG172" s="9"/>
      <c r="BH172" s="9" t="s">
        <v>26</v>
      </c>
      <c r="BI172" s="22">
        <v>1.712</v>
      </c>
      <c r="BJ172" s="23">
        <v>11.141400000000001</v>
      </c>
    </row>
    <row r="173" spans="1:62" ht="15" thickBot="1" x14ac:dyDescent="0.4">
      <c r="A173" s="13" t="s">
        <v>158</v>
      </c>
      <c r="B173" s="13"/>
      <c r="C173" s="13" t="s">
        <v>42</v>
      </c>
      <c r="D173" s="13" t="s">
        <v>76</v>
      </c>
      <c r="E173" s="13">
        <v>6.1779000000000001E-2</v>
      </c>
      <c r="F173" s="21">
        <v>44880</v>
      </c>
      <c r="G173" s="13">
        <v>1.0382523148148148</v>
      </c>
      <c r="H173" s="25">
        <v>28.306999999999999</v>
      </c>
      <c r="I173" s="9"/>
      <c r="J173" s="9" t="s">
        <v>26</v>
      </c>
      <c r="K173" s="22">
        <v>6.4089</v>
      </c>
      <c r="L173" s="22">
        <v>9.8449399999999994</v>
      </c>
      <c r="M173" s="25">
        <v>38.472000000000001</v>
      </c>
      <c r="N173" s="9"/>
      <c r="O173" s="9" t="s">
        <v>26</v>
      </c>
      <c r="P173" s="22">
        <v>5.6208999999999998</v>
      </c>
      <c r="Q173" s="22">
        <v>7.5369000000000002</v>
      </c>
      <c r="R173" s="13"/>
      <c r="S173" s="9"/>
      <c r="T173" s="9" t="s">
        <v>26</v>
      </c>
      <c r="U173" s="9"/>
      <c r="V173" s="22">
        <v>0.70938500000000004</v>
      </c>
      <c r="W173" s="25">
        <v>2.0842000000000001</v>
      </c>
      <c r="X173" s="9"/>
      <c r="Y173" s="9" t="s">
        <v>26</v>
      </c>
      <c r="Z173" s="22">
        <v>1.0911999999999999</v>
      </c>
      <c r="AA173" s="22">
        <v>2.8616199999999998</v>
      </c>
      <c r="AB173" s="25">
        <v>2.3071000000000002</v>
      </c>
      <c r="AC173" s="9"/>
      <c r="AD173" s="9" t="s">
        <v>26</v>
      </c>
      <c r="AE173" s="22">
        <v>0.19120000000000001</v>
      </c>
      <c r="AF173" s="22">
        <v>0.80673300000000003</v>
      </c>
      <c r="AG173" s="13"/>
      <c r="AH173" s="9"/>
      <c r="AI173" s="9" t="s">
        <v>26</v>
      </c>
      <c r="AJ173" s="9"/>
      <c r="AK173" s="22">
        <v>9.4925800000000002</v>
      </c>
      <c r="AL173" s="25">
        <v>0.71055000000000001</v>
      </c>
      <c r="AM173" s="9"/>
      <c r="AN173" s="9" t="s">
        <v>26</v>
      </c>
      <c r="AO173" s="22">
        <v>0.76712000000000002</v>
      </c>
      <c r="AP173" s="22">
        <v>2.53742</v>
      </c>
      <c r="AQ173" s="25">
        <v>0.78900000000000003</v>
      </c>
      <c r="AR173" s="9"/>
      <c r="AS173" s="9" t="s">
        <v>26</v>
      </c>
      <c r="AT173" s="22">
        <v>1.3185</v>
      </c>
      <c r="AU173" s="22">
        <v>2.3045599999999999</v>
      </c>
      <c r="AV173" s="13"/>
      <c r="AW173" s="9"/>
      <c r="AX173" s="9" t="s">
        <v>26</v>
      </c>
      <c r="AY173" s="9"/>
      <c r="AZ173" s="22">
        <v>18.473500000000001</v>
      </c>
      <c r="BA173" s="25">
        <v>0.51868999999999998</v>
      </c>
      <c r="BB173" s="9"/>
      <c r="BC173" s="9" t="s">
        <v>26</v>
      </c>
      <c r="BD173" s="22">
        <v>0.10648000000000001</v>
      </c>
      <c r="BE173" s="22">
        <v>0.64313799999999999</v>
      </c>
      <c r="BF173" s="13"/>
      <c r="BG173" s="9"/>
      <c r="BH173" s="9" t="s">
        <v>26</v>
      </c>
      <c r="BI173" s="9"/>
      <c r="BJ173" s="23">
        <v>11.651899999999999</v>
      </c>
    </row>
    <row r="174" spans="1:62" ht="15" thickBot="1" x14ac:dyDescent="0.4">
      <c r="A174" s="13" t="s">
        <v>159</v>
      </c>
      <c r="B174" s="13"/>
      <c r="C174" s="13" t="s">
        <v>42</v>
      </c>
      <c r="D174" s="13" t="s">
        <v>76</v>
      </c>
      <c r="E174" s="13">
        <v>6.6324999999999995E-2</v>
      </c>
      <c r="F174" s="21">
        <v>44881</v>
      </c>
      <c r="G174" s="13">
        <v>0.97053240740740732</v>
      </c>
      <c r="H174" s="25">
        <v>105.77</v>
      </c>
      <c r="I174" s="9"/>
      <c r="J174" s="9" t="s">
        <v>26</v>
      </c>
      <c r="K174" s="22">
        <v>8.8618000000000006</v>
      </c>
      <c r="L174" s="22">
        <v>9.9847099999999998</v>
      </c>
      <c r="M174" s="25">
        <v>27.495999999999999</v>
      </c>
      <c r="N174" s="9"/>
      <c r="O174" s="9" t="s">
        <v>26</v>
      </c>
      <c r="P174" s="22">
        <v>1.9116</v>
      </c>
      <c r="Q174" s="22">
        <v>7.5491999999999999</v>
      </c>
      <c r="R174" s="13"/>
      <c r="S174" s="9"/>
      <c r="T174" s="9" t="s">
        <v>26</v>
      </c>
      <c r="U174" s="9"/>
      <c r="V174" s="22">
        <v>0.70385399999999998</v>
      </c>
      <c r="W174" s="25">
        <v>2.0546000000000002</v>
      </c>
      <c r="X174" s="9"/>
      <c r="Y174" s="9" t="s">
        <v>26</v>
      </c>
      <c r="Z174" s="22">
        <v>0.32316</v>
      </c>
      <c r="AA174" s="22">
        <v>1.7856399999999999</v>
      </c>
      <c r="AB174" s="25">
        <v>3.7686999999999999</v>
      </c>
      <c r="AC174" s="9"/>
      <c r="AD174" s="9" t="s">
        <v>26</v>
      </c>
      <c r="AE174" s="22">
        <v>0.22306000000000001</v>
      </c>
      <c r="AF174" s="22">
        <v>0.73619400000000002</v>
      </c>
      <c r="AG174" s="13"/>
      <c r="AH174" s="9"/>
      <c r="AI174" s="9" t="s">
        <v>26</v>
      </c>
      <c r="AJ174" s="9"/>
      <c r="AK174" s="22">
        <v>9.31691</v>
      </c>
      <c r="AL174" s="25">
        <v>4.0911</v>
      </c>
      <c r="AM174" s="9"/>
      <c r="AN174" s="9" t="s">
        <v>26</v>
      </c>
      <c r="AO174" s="22">
        <v>1.1888000000000001</v>
      </c>
      <c r="AP174" s="22">
        <v>1.9025399999999999</v>
      </c>
      <c r="AQ174" s="25">
        <v>1.7146999999999999</v>
      </c>
      <c r="AR174" s="9"/>
      <c r="AS174" s="9" t="s">
        <v>26</v>
      </c>
      <c r="AT174" s="22">
        <v>0.98872000000000004</v>
      </c>
      <c r="AU174" s="22">
        <v>2.2803300000000002</v>
      </c>
      <c r="AV174" s="13"/>
      <c r="AW174" s="9"/>
      <c r="AX174" s="9" t="s">
        <v>26</v>
      </c>
      <c r="AY174" s="9"/>
      <c r="AZ174" s="22">
        <v>17.699200000000001</v>
      </c>
      <c r="BA174" s="25">
        <v>1.0569999999999999</v>
      </c>
      <c r="BB174" s="9"/>
      <c r="BC174" s="9" t="s">
        <v>26</v>
      </c>
      <c r="BD174" s="22">
        <v>0.56242000000000003</v>
      </c>
      <c r="BE174" s="22">
        <v>0.68069199999999996</v>
      </c>
      <c r="BF174" s="13"/>
      <c r="BG174" s="9"/>
      <c r="BH174" s="9" t="s">
        <v>26</v>
      </c>
      <c r="BI174" s="9"/>
      <c r="BJ174" s="23">
        <v>12.1662</v>
      </c>
    </row>
    <row r="175" spans="1:62" ht="15" thickBot="1" x14ac:dyDescent="0.4">
      <c r="A175" s="13" t="s">
        <v>160</v>
      </c>
      <c r="B175" s="13"/>
      <c r="C175" s="13" t="s">
        <v>42</v>
      </c>
      <c r="D175" s="13" t="s">
        <v>76</v>
      </c>
      <c r="E175" s="13">
        <v>6.4195000000000002E-2</v>
      </c>
      <c r="F175" s="21">
        <v>44882</v>
      </c>
      <c r="G175" s="13">
        <v>0.99976851851851867</v>
      </c>
      <c r="H175" s="26">
        <v>142.28</v>
      </c>
      <c r="I175" s="10"/>
      <c r="J175" s="10" t="s">
        <v>26</v>
      </c>
      <c r="K175" s="18">
        <v>10.804</v>
      </c>
      <c r="L175" s="18">
        <v>10.119300000000001</v>
      </c>
      <c r="M175" s="26">
        <v>24.077000000000002</v>
      </c>
      <c r="N175" s="10"/>
      <c r="O175" s="10" t="s">
        <v>26</v>
      </c>
      <c r="P175" s="18">
        <v>6.0777000000000001</v>
      </c>
      <c r="Q175" s="18">
        <v>13.3682</v>
      </c>
      <c r="R175" s="11"/>
      <c r="S175" s="10"/>
      <c r="T175" s="10" t="s">
        <v>26</v>
      </c>
      <c r="U175" s="10"/>
      <c r="V175" s="18">
        <v>0.69238900000000003</v>
      </c>
      <c r="W175" s="26">
        <v>2.6145</v>
      </c>
      <c r="X175" s="10"/>
      <c r="Y175" s="10" t="s">
        <v>26</v>
      </c>
      <c r="Z175" s="18">
        <v>0.35438999999999998</v>
      </c>
      <c r="AA175" s="18">
        <v>1.80403</v>
      </c>
      <c r="AB175" s="26">
        <v>2.6446000000000001</v>
      </c>
      <c r="AC175" s="10"/>
      <c r="AD175" s="10" t="s">
        <v>26</v>
      </c>
      <c r="AE175" s="18">
        <v>0.20150000000000001</v>
      </c>
      <c r="AF175" s="18">
        <v>1.1391</v>
      </c>
      <c r="AG175" s="11"/>
      <c r="AH175" s="10"/>
      <c r="AI175" s="10" t="s">
        <v>26</v>
      </c>
      <c r="AJ175" s="10"/>
      <c r="AK175" s="18">
        <v>9.5481800000000003</v>
      </c>
      <c r="AL175" s="26">
        <v>1.3573</v>
      </c>
      <c r="AM175" s="10"/>
      <c r="AN175" s="10" t="s">
        <v>26</v>
      </c>
      <c r="AO175" s="18">
        <v>0.36033999999999999</v>
      </c>
      <c r="AP175" s="18">
        <v>2.10711</v>
      </c>
      <c r="AQ175" s="26">
        <v>0.27304</v>
      </c>
      <c r="AR175" s="10"/>
      <c r="AS175" s="10" t="s">
        <v>26</v>
      </c>
      <c r="AT175" s="18">
        <v>0.48737999999999998</v>
      </c>
      <c r="AU175" s="18">
        <v>2.2573500000000002</v>
      </c>
      <c r="AV175" s="11"/>
      <c r="AW175" s="10"/>
      <c r="AX175" s="10" t="s">
        <v>26</v>
      </c>
      <c r="AY175" s="10"/>
      <c r="AZ175" s="18">
        <v>18.109500000000001</v>
      </c>
      <c r="BA175" s="26">
        <v>1.2218</v>
      </c>
      <c r="BB175" s="10"/>
      <c r="BC175" s="10" t="s">
        <v>26</v>
      </c>
      <c r="BD175" s="18">
        <v>0.12903999999999999</v>
      </c>
      <c r="BE175" s="18">
        <v>0.71032799999999996</v>
      </c>
      <c r="BF175" s="11"/>
      <c r="BG175" s="10"/>
      <c r="BH175" s="10" t="s">
        <v>26</v>
      </c>
      <c r="BI175" s="10"/>
      <c r="BJ175" s="19">
        <v>12.024800000000001</v>
      </c>
    </row>
    <row r="176" spans="1:62" ht="15" thickBot="1" x14ac:dyDescent="0.4">
      <c r="A176" s="10" t="s">
        <v>161</v>
      </c>
      <c r="B176" s="10"/>
      <c r="C176" s="11" t="s">
        <v>42</v>
      </c>
      <c r="D176" s="11" t="s">
        <v>76</v>
      </c>
      <c r="E176" s="11">
        <v>6.1915999999999999E-2</v>
      </c>
      <c r="F176" s="20">
        <v>44883</v>
      </c>
      <c r="G176" s="11">
        <v>2.7230208333333334</v>
      </c>
      <c r="H176" s="28">
        <v>109.02</v>
      </c>
      <c r="I176" s="15"/>
      <c r="J176" s="15" t="s">
        <v>26</v>
      </c>
      <c r="K176" s="16">
        <v>7.1580000000000004</v>
      </c>
      <c r="L176" s="16">
        <v>7.6546200000000004</v>
      </c>
      <c r="M176" s="28">
        <v>22.978000000000002</v>
      </c>
      <c r="N176" s="15"/>
      <c r="O176" s="15" t="s">
        <v>26</v>
      </c>
      <c r="P176" s="16">
        <v>3.5731000000000002</v>
      </c>
      <c r="Q176" s="16">
        <v>8.2251600000000007</v>
      </c>
      <c r="R176" s="14"/>
      <c r="S176" s="15"/>
      <c r="T176" s="15" t="s">
        <v>26</v>
      </c>
      <c r="U176" s="15"/>
      <c r="V176" s="16">
        <v>0.43250300000000003</v>
      </c>
      <c r="W176" s="28">
        <v>2.1097999999999999</v>
      </c>
      <c r="X176" s="15"/>
      <c r="Y176" s="15" t="s">
        <v>26</v>
      </c>
      <c r="Z176" s="16">
        <v>1.163</v>
      </c>
      <c r="AA176" s="16">
        <v>1.2588200000000001</v>
      </c>
      <c r="AB176" s="28">
        <v>2.7176</v>
      </c>
      <c r="AC176" s="15"/>
      <c r="AD176" s="15" t="s">
        <v>26</v>
      </c>
      <c r="AE176" s="16">
        <v>0.14085</v>
      </c>
      <c r="AF176" s="16">
        <v>0.498029</v>
      </c>
      <c r="AG176" s="14"/>
      <c r="AH176" s="15"/>
      <c r="AI176" s="15" t="s">
        <v>26</v>
      </c>
      <c r="AJ176" s="15"/>
      <c r="AK176" s="16">
        <v>5.9254499999999997</v>
      </c>
      <c r="AL176" s="28">
        <v>2.5543</v>
      </c>
      <c r="AM176" s="15"/>
      <c r="AN176" s="15" t="s">
        <v>26</v>
      </c>
      <c r="AO176" s="16">
        <v>0.70116999999999996</v>
      </c>
      <c r="AP176" s="16">
        <v>1.5364599999999999</v>
      </c>
      <c r="AQ176" s="28">
        <v>1.2532000000000001</v>
      </c>
      <c r="AR176" s="15"/>
      <c r="AS176" s="15" t="s">
        <v>26</v>
      </c>
      <c r="AT176" s="16">
        <v>0.76914000000000005</v>
      </c>
      <c r="AU176" s="16">
        <v>1.9114199999999999</v>
      </c>
      <c r="AV176" s="28">
        <v>14.451000000000001</v>
      </c>
      <c r="AW176" s="15"/>
      <c r="AX176" s="15" t="s">
        <v>26</v>
      </c>
      <c r="AY176" s="16">
        <v>5.9130000000000003</v>
      </c>
      <c r="AZ176" s="16">
        <v>10.812799999999999</v>
      </c>
      <c r="BA176" s="28">
        <v>1.2098</v>
      </c>
      <c r="BB176" s="15"/>
      <c r="BC176" s="15" t="s">
        <v>26</v>
      </c>
      <c r="BD176" s="16">
        <v>0.29388999999999998</v>
      </c>
      <c r="BE176" s="16">
        <v>0.55994100000000002</v>
      </c>
      <c r="BF176" s="28">
        <v>9.2370999999999999</v>
      </c>
      <c r="BG176" s="15"/>
      <c r="BH176" s="15" t="s">
        <v>26</v>
      </c>
      <c r="BI176" s="16">
        <v>0.96192</v>
      </c>
      <c r="BJ176" s="17">
        <v>7.0799899999999996</v>
      </c>
    </row>
    <row r="177" spans="1:62" ht="15" thickBot="1" x14ac:dyDescent="0.4"/>
    <row r="178" spans="1:62" ht="15" thickBot="1" x14ac:dyDescent="0.4">
      <c r="H178" s="13" t="s">
        <v>18</v>
      </c>
      <c r="I178" s="9" t="s">
        <v>24</v>
      </c>
      <c r="J178" s="9"/>
      <c r="K178" s="9"/>
      <c r="L178" s="9"/>
      <c r="M178" s="13" t="s">
        <v>1</v>
      </c>
      <c r="N178" s="9" t="s">
        <v>23</v>
      </c>
      <c r="O178" s="9"/>
      <c r="P178" s="9"/>
      <c r="Q178" s="9"/>
      <c r="R178" s="13" t="s">
        <v>2</v>
      </c>
      <c r="S178" s="9" t="s">
        <v>41</v>
      </c>
      <c r="T178" s="9"/>
      <c r="U178" s="9"/>
      <c r="V178" s="9"/>
      <c r="W178" s="13" t="s">
        <v>7</v>
      </c>
      <c r="X178" s="9" t="s">
        <v>50</v>
      </c>
      <c r="Y178" s="9"/>
      <c r="Z178" s="9"/>
      <c r="AA178" s="9"/>
      <c r="AB178" s="13" t="s">
        <v>16</v>
      </c>
      <c r="AC178" s="9" t="s">
        <v>51</v>
      </c>
      <c r="AD178" s="9"/>
      <c r="AE178" s="9"/>
      <c r="AF178" s="9"/>
      <c r="AG178" s="13" t="s">
        <v>17</v>
      </c>
      <c r="AH178" s="9" t="s">
        <v>52</v>
      </c>
      <c r="AI178" s="9"/>
      <c r="AJ178" s="9"/>
      <c r="AK178" s="9"/>
      <c r="AL178" s="13" t="s">
        <v>19</v>
      </c>
      <c r="AM178" s="9" t="s">
        <v>53</v>
      </c>
      <c r="AN178" s="9"/>
      <c r="AO178" s="9"/>
      <c r="AP178" s="9"/>
      <c r="AQ178" s="13" t="s">
        <v>21</v>
      </c>
      <c r="AR178" s="9" t="s">
        <v>54</v>
      </c>
      <c r="AS178" s="9"/>
      <c r="AT178" s="9"/>
      <c r="AU178" s="9"/>
      <c r="AV178" s="13" t="s">
        <v>56</v>
      </c>
      <c r="AW178" s="9" t="s">
        <v>57</v>
      </c>
      <c r="AX178" s="9"/>
      <c r="AY178" s="9"/>
      <c r="AZ178" s="9"/>
      <c r="BA178" s="13" t="s">
        <v>60</v>
      </c>
      <c r="BB178" s="9" t="s">
        <v>61</v>
      </c>
      <c r="BC178" s="9"/>
      <c r="BD178" s="9"/>
      <c r="BE178" s="9"/>
      <c r="BF178" s="13" t="s">
        <v>62</v>
      </c>
      <c r="BG178" s="9" t="s">
        <v>63</v>
      </c>
      <c r="BH178" s="9"/>
      <c r="BI178" s="9"/>
      <c r="BJ178" s="12"/>
    </row>
    <row r="179" spans="1:62" ht="15" thickBot="1" x14ac:dyDescent="0.4">
      <c r="A179" s="13" t="s">
        <v>30</v>
      </c>
      <c r="B179" s="13"/>
      <c r="C179" s="13" t="s">
        <v>29</v>
      </c>
      <c r="D179" s="13" t="s">
        <v>31</v>
      </c>
      <c r="E179" s="13" t="s">
        <v>27</v>
      </c>
      <c r="F179" s="13" t="s">
        <v>25</v>
      </c>
      <c r="G179" s="13" t="s">
        <v>28</v>
      </c>
      <c r="H179" s="13" t="s">
        <v>33</v>
      </c>
      <c r="I179" s="9" t="s">
        <v>34</v>
      </c>
      <c r="J179" s="9"/>
      <c r="K179" s="9" t="s">
        <v>35</v>
      </c>
      <c r="L179" s="9" t="s">
        <v>36</v>
      </c>
      <c r="M179" s="13" t="s">
        <v>33</v>
      </c>
      <c r="N179" s="9" t="s">
        <v>34</v>
      </c>
      <c r="O179" s="9"/>
      <c r="P179" s="9" t="s">
        <v>35</v>
      </c>
      <c r="Q179" s="9" t="s">
        <v>36</v>
      </c>
      <c r="R179" s="13" t="s">
        <v>33</v>
      </c>
      <c r="S179" s="9" t="s">
        <v>34</v>
      </c>
      <c r="T179" s="9"/>
      <c r="U179" s="9" t="s">
        <v>35</v>
      </c>
      <c r="V179" s="9" t="s">
        <v>36</v>
      </c>
      <c r="W179" s="13" t="s">
        <v>33</v>
      </c>
      <c r="X179" s="9" t="s">
        <v>34</v>
      </c>
      <c r="Y179" s="9"/>
      <c r="Z179" s="9" t="s">
        <v>35</v>
      </c>
      <c r="AA179" s="9" t="s">
        <v>36</v>
      </c>
      <c r="AB179" s="13" t="s">
        <v>33</v>
      </c>
      <c r="AC179" s="9" t="s">
        <v>34</v>
      </c>
      <c r="AD179" s="9"/>
      <c r="AE179" s="9" t="s">
        <v>35</v>
      </c>
      <c r="AF179" s="9" t="s">
        <v>36</v>
      </c>
      <c r="AG179" s="13" t="s">
        <v>33</v>
      </c>
      <c r="AH179" s="9" t="s">
        <v>34</v>
      </c>
      <c r="AI179" s="9"/>
      <c r="AJ179" s="9" t="s">
        <v>35</v>
      </c>
      <c r="AK179" s="9" t="s">
        <v>36</v>
      </c>
      <c r="AL179" s="13" t="s">
        <v>33</v>
      </c>
      <c r="AM179" s="9" t="s">
        <v>34</v>
      </c>
      <c r="AN179" s="9"/>
      <c r="AO179" s="9" t="s">
        <v>35</v>
      </c>
      <c r="AP179" s="9" t="s">
        <v>36</v>
      </c>
      <c r="AQ179" s="13" t="s">
        <v>33</v>
      </c>
      <c r="AR179" s="9" t="s">
        <v>34</v>
      </c>
      <c r="AS179" s="9"/>
      <c r="AT179" s="9" t="s">
        <v>35</v>
      </c>
      <c r="AU179" s="9" t="s">
        <v>36</v>
      </c>
      <c r="AV179" s="13" t="s">
        <v>33</v>
      </c>
      <c r="AW179" s="9" t="s">
        <v>34</v>
      </c>
      <c r="AX179" s="9"/>
      <c r="AY179" s="9" t="s">
        <v>35</v>
      </c>
      <c r="AZ179" s="9" t="s">
        <v>36</v>
      </c>
      <c r="BA179" s="13" t="s">
        <v>33</v>
      </c>
      <c r="BB179" s="9" t="s">
        <v>34</v>
      </c>
      <c r="BC179" s="9"/>
      <c r="BD179" s="9" t="s">
        <v>35</v>
      </c>
      <c r="BE179" s="9" t="s">
        <v>36</v>
      </c>
      <c r="BF179" s="13" t="s">
        <v>33</v>
      </c>
      <c r="BG179" s="9" t="s">
        <v>34</v>
      </c>
      <c r="BH179" s="9"/>
      <c r="BI179" s="9" t="s">
        <v>35</v>
      </c>
      <c r="BJ179" s="12" t="s">
        <v>36</v>
      </c>
    </row>
    <row r="180" spans="1:62" ht="15" thickBot="1" x14ac:dyDescent="0.4">
      <c r="A180" s="13" t="s">
        <v>162</v>
      </c>
      <c r="B180" s="13"/>
      <c r="C180" s="13" t="s">
        <v>58</v>
      </c>
      <c r="D180" s="13" t="s">
        <v>65</v>
      </c>
      <c r="E180" s="13">
        <v>5.6916000000000001E-2</v>
      </c>
      <c r="F180" s="21">
        <v>44874</v>
      </c>
      <c r="G180" s="13">
        <v>1.0603472222222223</v>
      </c>
      <c r="H180" s="25">
        <v>29.518000000000001</v>
      </c>
      <c r="I180" s="9"/>
      <c r="J180" s="9" t="s">
        <v>26</v>
      </c>
      <c r="K180" s="22">
        <v>9.2095000000000002</v>
      </c>
      <c r="L180" s="22">
        <v>9.3963300000000007</v>
      </c>
      <c r="M180" s="25">
        <v>67.605000000000004</v>
      </c>
      <c r="N180" s="9"/>
      <c r="O180" s="9" t="s">
        <v>26</v>
      </c>
      <c r="P180" s="22">
        <v>16.268000000000001</v>
      </c>
      <c r="Q180" s="22">
        <v>23.535599999999999</v>
      </c>
      <c r="R180" s="13"/>
      <c r="S180" s="9"/>
      <c r="T180" s="9" t="s">
        <v>26</v>
      </c>
      <c r="U180" s="9"/>
      <c r="V180" s="22">
        <v>1.29959</v>
      </c>
      <c r="W180" s="13"/>
      <c r="X180" s="9"/>
      <c r="Y180" s="9" t="s">
        <v>26</v>
      </c>
      <c r="Z180" s="9"/>
      <c r="AA180" s="22">
        <v>4.6828900000000004</v>
      </c>
      <c r="AB180" s="25">
        <v>1.7529999999999999</v>
      </c>
      <c r="AC180" s="9"/>
      <c r="AD180" s="9" t="s">
        <v>26</v>
      </c>
      <c r="AE180" s="22">
        <v>2.5792000000000002</v>
      </c>
      <c r="AF180" s="22">
        <v>1.2677400000000001</v>
      </c>
      <c r="AG180" s="25">
        <v>2.8683999999999998</v>
      </c>
      <c r="AH180" s="9"/>
      <c r="AI180" s="9" t="s">
        <v>26</v>
      </c>
      <c r="AJ180" s="22">
        <v>1.5411999999999999</v>
      </c>
      <c r="AK180" s="22">
        <v>7.8208599999999997</v>
      </c>
      <c r="AL180" s="25">
        <v>2.8268</v>
      </c>
      <c r="AM180" s="9"/>
      <c r="AN180" s="9" t="s">
        <v>26</v>
      </c>
      <c r="AO180" s="22">
        <v>2.6566999999999998</v>
      </c>
      <c r="AP180" s="22">
        <v>2.4740199999999999</v>
      </c>
      <c r="AQ180" s="25">
        <v>2.5421</v>
      </c>
      <c r="AR180" s="9"/>
      <c r="AS180" s="9" t="s">
        <v>26</v>
      </c>
      <c r="AT180" s="22">
        <v>1.3944000000000001</v>
      </c>
      <c r="AU180" s="22">
        <v>2.2487300000000001</v>
      </c>
      <c r="AV180" s="25">
        <v>4.5970000000000004</v>
      </c>
      <c r="AW180" s="9"/>
      <c r="AX180" s="9" t="s">
        <v>26</v>
      </c>
      <c r="AY180" s="22">
        <v>3.5476000000000001</v>
      </c>
      <c r="AZ180" s="22">
        <v>14.974399999999999</v>
      </c>
      <c r="BA180" s="25">
        <v>0.93638999999999994</v>
      </c>
      <c r="BB180" s="9"/>
      <c r="BC180" s="9" t="s">
        <v>26</v>
      </c>
      <c r="BD180" s="22">
        <v>0.20527999999999999</v>
      </c>
      <c r="BE180" s="22">
        <v>0.91010800000000003</v>
      </c>
      <c r="BF180" s="25">
        <v>16.074999999999999</v>
      </c>
      <c r="BG180" s="9"/>
      <c r="BH180" s="9" t="s">
        <v>26</v>
      </c>
      <c r="BI180" s="22">
        <v>8.0538000000000007</v>
      </c>
      <c r="BJ180" s="23">
        <v>14.8345</v>
      </c>
    </row>
    <row r="181" spans="1:62" ht="15" thickBot="1" x14ac:dyDescent="0.4">
      <c r="A181" s="13" t="s">
        <v>163</v>
      </c>
      <c r="B181" s="13"/>
      <c r="C181" s="13" t="s">
        <v>58</v>
      </c>
      <c r="D181" s="13" t="s">
        <v>65</v>
      </c>
      <c r="E181" s="13">
        <v>6.3784999999999994E-2</v>
      </c>
      <c r="F181" s="21">
        <v>44875</v>
      </c>
      <c r="G181" s="13">
        <v>1.0928587962962963</v>
      </c>
      <c r="H181" s="25">
        <v>83.457999999999998</v>
      </c>
      <c r="I181" s="9"/>
      <c r="J181" s="9" t="s">
        <v>26</v>
      </c>
      <c r="K181" s="22">
        <v>5.5918999999999999</v>
      </c>
      <c r="L181" s="22">
        <v>8.6669099999999997</v>
      </c>
      <c r="M181" s="25">
        <v>26.067</v>
      </c>
      <c r="N181" s="9"/>
      <c r="O181" s="9" t="s">
        <v>26</v>
      </c>
      <c r="P181" s="22">
        <v>3.952</v>
      </c>
      <c r="Q181" s="22">
        <v>37.232399999999998</v>
      </c>
      <c r="R181" s="13"/>
      <c r="S181" s="9"/>
      <c r="T181" s="9" t="s">
        <v>26</v>
      </c>
      <c r="U181" s="9"/>
      <c r="V181" s="22">
        <v>1.1251500000000001</v>
      </c>
      <c r="W181" s="25">
        <v>3.1779000000000002</v>
      </c>
      <c r="X181" s="9"/>
      <c r="Y181" s="9" t="s">
        <v>26</v>
      </c>
      <c r="Z181" s="22">
        <v>2.9079999999999999</v>
      </c>
      <c r="AA181" s="22">
        <v>2.7582399999999998</v>
      </c>
      <c r="AB181" s="25">
        <v>2.6726999999999999</v>
      </c>
      <c r="AC181" s="9"/>
      <c r="AD181" s="9" t="s">
        <v>26</v>
      </c>
      <c r="AE181" s="22">
        <v>0.55961000000000005</v>
      </c>
      <c r="AF181" s="22">
        <v>1.0298499999999999</v>
      </c>
      <c r="AG181" s="13"/>
      <c r="AH181" s="9"/>
      <c r="AI181" s="9" t="s">
        <v>26</v>
      </c>
      <c r="AJ181" s="9"/>
      <c r="AK181" s="22">
        <v>14.005699999999999</v>
      </c>
      <c r="AL181" s="25">
        <v>2.8797999999999999</v>
      </c>
      <c r="AM181" s="9"/>
      <c r="AN181" s="9" t="s">
        <v>26</v>
      </c>
      <c r="AO181" s="22">
        <v>1.6875</v>
      </c>
      <c r="AP181" s="22">
        <v>2.2845499999999999</v>
      </c>
      <c r="AQ181" s="25">
        <v>1.6267</v>
      </c>
      <c r="AR181" s="9"/>
      <c r="AS181" s="9" t="s">
        <v>26</v>
      </c>
      <c r="AT181" s="22">
        <v>0.48219000000000001</v>
      </c>
      <c r="AU181" s="22">
        <v>1.96536</v>
      </c>
      <c r="AV181" s="25">
        <v>2.9498000000000002</v>
      </c>
      <c r="AW181" s="9"/>
      <c r="AX181" s="9" t="s">
        <v>26</v>
      </c>
      <c r="AY181" s="22">
        <v>4.4724000000000004</v>
      </c>
      <c r="AZ181" s="22">
        <v>13.785399999999999</v>
      </c>
      <c r="BA181" s="25">
        <v>1.2943</v>
      </c>
      <c r="BB181" s="9"/>
      <c r="BC181" s="9" t="s">
        <v>26</v>
      </c>
      <c r="BD181" s="22">
        <v>0.19836000000000001</v>
      </c>
      <c r="BE181" s="22">
        <v>0.85557899999999998</v>
      </c>
      <c r="BF181" s="25">
        <v>4.6322999999999999</v>
      </c>
      <c r="BG181" s="9"/>
      <c r="BH181" s="9" t="s">
        <v>26</v>
      </c>
      <c r="BI181" s="22">
        <v>4.1186999999999996</v>
      </c>
      <c r="BJ181" s="23">
        <v>13.6241</v>
      </c>
    </row>
    <row r="182" spans="1:62" ht="15" thickBot="1" x14ac:dyDescent="0.4">
      <c r="A182" s="13" t="s">
        <v>164</v>
      </c>
      <c r="B182" s="13"/>
      <c r="C182" s="13" t="s">
        <v>58</v>
      </c>
      <c r="D182" s="13" t="s">
        <v>65</v>
      </c>
      <c r="E182" s="13">
        <v>6.2106000000000001E-2</v>
      </c>
      <c r="F182" s="21">
        <v>44876</v>
      </c>
      <c r="G182" s="13">
        <v>2.6792476851851852</v>
      </c>
      <c r="H182" s="25">
        <v>77.067999999999998</v>
      </c>
      <c r="I182" s="9"/>
      <c r="J182" s="9" t="s">
        <v>26</v>
      </c>
      <c r="K182" s="22">
        <v>4.5590999999999999</v>
      </c>
      <c r="L182" s="22">
        <v>6.8633199999999999</v>
      </c>
      <c r="M182" s="25">
        <v>23.713999999999999</v>
      </c>
      <c r="N182" s="9"/>
      <c r="O182" s="9" t="s">
        <v>26</v>
      </c>
      <c r="P182" s="22">
        <v>7.4942000000000002</v>
      </c>
      <c r="Q182" s="22">
        <v>12.1289</v>
      </c>
      <c r="R182" s="13"/>
      <c r="S182" s="9"/>
      <c r="T182" s="9" t="s">
        <v>26</v>
      </c>
      <c r="U182" s="9"/>
      <c r="V182" s="22">
        <v>0.74257399999999996</v>
      </c>
      <c r="W182" s="25">
        <v>2.0705</v>
      </c>
      <c r="X182" s="9"/>
      <c r="Y182" s="9" t="s">
        <v>26</v>
      </c>
      <c r="Z182" s="22">
        <v>0.41056999999999999</v>
      </c>
      <c r="AA182" s="22">
        <v>2.06901</v>
      </c>
      <c r="AB182" s="25">
        <v>2.5903</v>
      </c>
      <c r="AC182" s="9"/>
      <c r="AD182" s="9" t="s">
        <v>26</v>
      </c>
      <c r="AE182" s="22">
        <v>0.18994</v>
      </c>
      <c r="AF182" s="22">
        <v>0.68349899999999997</v>
      </c>
      <c r="AG182" s="13"/>
      <c r="AH182" s="9"/>
      <c r="AI182" s="9" t="s">
        <v>26</v>
      </c>
      <c r="AJ182" s="9"/>
      <c r="AK182" s="22">
        <v>9.5340600000000002</v>
      </c>
      <c r="AL182" s="25">
        <v>3.8975</v>
      </c>
      <c r="AM182" s="9"/>
      <c r="AN182" s="9" t="s">
        <v>26</v>
      </c>
      <c r="AO182" s="22">
        <v>0.40490999999999999</v>
      </c>
      <c r="AP182" s="22">
        <v>1.6501999999999999</v>
      </c>
      <c r="AQ182" s="25">
        <v>3.8645999999999998</v>
      </c>
      <c r="AR182" s="9"/>
      <c r="AS182" s="9" t="s">
        <v>26</v>
      </c>
      <c r="AT182" s="22">
        <v>0.37902000000000002</v>
      </c>
      <c r="AU182" s="22">
        <v>1.47112</v>
      </c>
      <c r="AV182" s="25">
        <v>1.8528</v>
      </c>
      <c r="AW182" s="9"/>
      <c r="AX182" s="9" t="s">
        <v>26</v>
      </c>
      <c r="AY182" s="22">
        <v>3.2989999999999999</v>
      </c>
      <c r="AZ182" s="22">
        <v>11.401</v>
      </c>
      <c r="BA182" s="25">
        <v>0.65478000000000003</v>
      </c>
      <c r="BB182" s="9"/>
      <c r="BC182" s="9" t="s">
        <v>26</v>
      </c>
      <c r="BD182" s="22">
        <v>0.13012000000000001</v>
      </c>
      <c r="BE182" s="22">
        <v>0.66482200000000002</v>
      </c>
      <c r="BF182" s="25">
        <v>8.9316999999999993</v>
      </c>
      <c r="BG182" s="9"/>
      <c r="BH182" s="9" t="s">
        <v>26</v>
      </c>
      <c r="BI182" s="22">
        <v>1.6332</v>
      </c>
      <c r="BJ182" s="23">
        <v>8.6789699999999996</v>
      </c>
    </row>
    <row r="183" spans="1:62" ht="15" thickBot="1" x14ac:dyDescent="0.4">
      <c r="A183" s="13" t="s">
        <v>165</v>
      </c>
      <c r="B183" s="13"/>
      <c r="C183" s="13" t="s">
        <v>58</v>
      </c>
      <c r="D183" s="13" t="s">
        <v>65</v>
      </c>
      <c r="E183" s="13">
        <v>5.9729999999999998E-2</v>
      </c>
      <c r="F183" s="21">
        <v>44879</v>
      </c>
      <c r="G183" s="13">
        <v>0.98627314814814815</v>
      </c>
      <c r="H183" s="25">
        <v>70.582999999999998</v>
      </c>
      <c r="I183" s="9"/>
      <c r="J183" s="9" t="s">
        <v>26</v>
      </c>
      <c r="K183" s="22">
        <v>5.1356999999999999</v>
      </c>
      <c r="L183" s="22">
        <v>9.1845999999999997</v>
      </c>
      <c r="M183" s="25">
        <v>33.218000000000004</v>
      </c>
      <c r="N183" s="9"/>
      <c r="O183" s="9" t="s">
        <v>26</v>
      </c>
      <c r="P183" s="22">
        <v>4.5429000000000004</v>
      </c>
      <c r="Q183" s="22">
        <v>31.433599999999998</v>
      </c>
      <c r="R183" s="13"/>
      <c r="S183" s="9"/>
      <c r="T183" s="9" t="s">
        <v>26</v>
      </c>
      <c r="U183" s="9"/>
      <c r="V183" s="22">
        <v>1.2629699999999999</v>
      </c>
      <c r="W183" s="25">
        <v>0.97116000000000002</v>
      </c>
      <c r="X183" s="9"/>
      <c r="Y183" s="9" t="s">
        <v>26</v>
      </c>
      <c r="Z183" s="22">
        <v>0.60062000000000004</v>
      </c>
      <c r="AA183" s="22">
        <v>2.6378499999999998</v>
      </c>
      <c r="AB183" s="25">
        <v>3.3273000000000001</v>
      </c>
      <c r="AC183" s="9"/>
      <c r="AD183" s="9" t="s">
        <v>26</v>
      </c>
      <c r="AE183" s="22">
        <v>0.80564000000000002</v>
      </c>
      <c r="AF183" s="22">
        <v>1.1285099999999999</v>
      </c>
      <c r="AG183" s="13"/>
      <c r="AH183" s="9"/>
      <c r="AI183" s="9" t="s">
        <v>26</v>
      </c>
      <c r="AJ183" s="9"/>
      <c r="AK183" s="22">
        <v>15.974399999999999</v>
      </c>
      <c r="AL183" s="25">
        <v>1.4912000000000001</v>
      </c>
      <c r="AM183" s="9"/>
      <c r="AN183" s="9" t="s">
        <v>26</v>
      </c>
      <c r="AO183" s="22">
        <v>1.0547</v>
      </c>
      <c r="AP183" s="22">
        <v>2.5359500000000001</v>
      </c>
      <c r="AQ183" s="25">
        <v>1.7793000000000001</v>
      </c>
      <c r="AR183" s="9"/>
      <c r="AS183" s="9" t="s">
        <v>26</v>
      </c>
      <c r="AT183" s="22">
        <v>1.4152</v>
      </c>
      <c r="AU183" s="22">
        <v>2.3208000000000002</v>
      </c>
      <c r="AV183" s="25">
        <v>4.0488</v>
      </c>
      <c r="AW183" s="9"/>
      <c r="AX183" s="9" t="s">
        <v>26</v>
      </c>
      <c r="AY183" s="22">
        <v>6.1425000000000001</v>
      </c>
      <c r="AZ183" s="22">
        <v>15.8147</v>
      </c>
      <c r="BA183" s="25">
        <v>0.82516999999999996</v>
      </c>
      <c r="BB183" s="9"/>
      <c r="BC183" s="9" t="s">
        <v>26</v>
      </c>
      <c r="BD183" s="22">
        <v>0.70372000000000001</v>
      </c>
      <c r="BE183" s="22">
        <v>0.97535499999999997</v>
      </c>
      <c r="BF183" s="25">
        <v>4.9970999999999997</v>
      </c>
      <c r="BG183" s="9"/>
      <c r="BH183" s="9" t="s">
        <v>26</v>
      </c>
      <c r="BI183" s="22">
        <v>2.375</v>
      </c>
      <c r="BJ183" s="23">
        <v>18.646899999999999</v>
      </c>
    </row>
    <row r="184" spans="1:62" ht="15" thickBot="1" x14ac:dyDescent="0.4">
      <c r="A184" s="13" t="s">
        <v>166</v>
      </c>
      <c r="B184" s="13"/>
      <c r="C184" s="13" t="s">
        <v>58</v>
      </c>
      <c r="D184" s="13" t="s">
        <v>65</v>
      </c>
      <c r="E184" s="13">
        <v>7.0529999999999995E-2</v>
      </c>
      <c r="F184" s="21">
        <v>44880</v>
      </c>
      <c r="G184" s="13">
        <v>1.0320254629629628</v>
      </c>
      <c r="H184" s="25">
        <v>119.85</v>
      </c>
      <c r="I184" s="9"/>
      <c r="J184" s="9" t="s">
        <v>26</v>
      </c>
      <c r="K184" s="22">
        <v>7.4051999999999998</v>
      </c>
      <c r="L184" s="22">
        <v>8.5975199999999994</v>
      </c>
      <c r="M184" s="25">
        <v>25.475000000000001</v>
      </c>
      <c r="N184" s="9"/>
      <c r="O184" s="9" t="s">
        <v>26</v>
      </c>
      <c r="P184" s="22">
        <v>3.7366000000000001</v>
      </c>
      <c r="Q184" s="22">
        <v>31.830300000000001</v>
      </c>
      <c r="R184" s="13"/>
      <c r="S184" s="9"/>
      <c r="T184" s="9" t="s">
        <v>26</v>
      </c>
      <c r="U184" s="9"/>
      <c r="V184" s="22">
        <v>1.0745199999999999</v>
      </c>
      <c r="W184" s="25">
        <v>1.9538</v>
      </c>
      <c r="X184" s="9"/>
      <c r="Y184" s="9" t="s">
        <v>26</v>
      </c>
      <c r="Z184" s="22">
        <v>0.71553999999999995</v>
      </c>
      <c r="AA184" s="22">
        <v>2.69902</v>
      </c>
      <c r="AB184" s="25">
        <v>3.7416</v>
      </c>
      <c r="AC184" s="9"/>
      <c r="AD184" s="9" t="s">
        <v>26</v>
      </c>
      <c r="AE184" s="22">
        <v>0.73912</v>
      </c>
      <c r="AF184" s="22">
        <v>1.02261</v>
      </c>
      <c r="AG184" s="13"/>
      <c r="AH184" s="9"/>
      <c r="AI184" s="9" t="s">
        <v>26</v>
      </c>
      <c r="AJ184" s="9"/>
      <c r="AK184" s="22">
        <v>13.7135</v>
      </c>
      <c r="AL184" s="25">
        <v>2.2370999999999999</v>
      </c>
      <c r="AM184" s="9"/>
      <c r="AN184" s="9" t="s">
        <v>26</v>
      </c>
      <c r="AO184" s="22">
        <v>0.50046999999999997</v>
      </c>
      <c r="AP184" s="22">
        <v>2.2116699999999998</v>
      </c>
      <c r="AQ184" s="25">
        <v>1.3193999999999999</v>
      </c>
      <c r="AR184" s="9"/>
      <c r="AS184" s="9" t="s">
        <v>26</v>
      </c>
      <c r="AT184" s="22">
        <v>0.44073000000000001</v>
      </c>
      <c r="AU184" s="22">
        <v>2.06108</v>
      </c>
      <c r="AV184" s="25">
        <v>8.9635000000000006E-2</v>
      </c>
      <c r="AW184" s="9"/>
      <c r="AX184" s="9" t="s">
        <v>26</v>
      </c>
      <c r="AY184" s="22">
        <v>2.9902000000000002</v>
      </c>
      <c r="AZ184" s="22">
        <v>12.425700000000001</v>
      </c>
      <c r="BA184" s="25">
        <v>0.71699999999999997</v>
      </c>
      <c r="BB184" s="9"/>
      <c r="BC184" s="9" t="s">
        <v>26</v>
      </c>
      <c r="BD184" s="22">
        <v>0.17100000000000001</v>
      </c>
      <c r="BE184" s="22">
        <v>0.77942999999999996</v>
      </c>
      <c r="BF184" s="25">
        <v>5.2237999999999998</v>
      </c>
      <c r="BG184" s="9"/>
      <c r="BH184" s="9" t="s">
        <v>26</v>
      </c>
      <c r="BI184" s="22">
        <v>4.0492999999999997</v>
      </c>
      <c r="BJ184" s="23">
        <v>18.1313</v>
      </c>
    </row>
    <row r="185" spans="1:62" ht="15" thickBot="1" x14ac:dyDescent="0.4">
      <c r="A185" s="13" t="s">
        <v>167</v>
      </c>
      <c r="B185" s="13"/>
      <c r="C185" s="13" t="s">
        <v>58</v>
      </c>
      <c r="D185" s="13" t="s">
        <v>65</v>
      </c>
      <c r="E185" s="13">
        <v>6.4569000000000001E-2</v>
      </c>
      <c r="F185" s="21">
        <v>44881</v>
      </c>
      <c r="G185" s="13">
        <v>0.9682291666666667</v>
      </c>
      <c r="H185" s="25">
        <v>106.42</v>
      </c>
      <c r="I185" s="9"/>
      <c r="J185" s="9" t="s">
        <v>26</v>
      </c>
      <c r="K185" s="22">
        <v>13.744</v>
      </c>
      <c r="L185" s="22">
        <v>8.9581400000000002</v>
      </c>
      <c r="M185" s="25">
        <v>26.027000000000001</v>
      </c>
      <c r="N185" s="9"/>
      <c r="O185" s="9" t="s">
        <v>26</v>
      </c>
      <c r="P185" s="22">
        <v>6.0667</v>
      </c>
      <c r="Q185" s="22">
        <v>41.1205</v>
      </c>
      <c r="R185" s="13"/>
      <c r="S185" s="9"/>
      <c r="T185" s="9" t="s">
        <v>26</v>
      </c>
      <c r="U185" s="9"/>
      <c r="V185" s="22">
        <v>1.2065399999999999</v>
      </c>
      <c r="W185" s="25">
        <v>3.3822000000000001</v>
      </c>
      <c r="X185" s="9"/>
      <c r="Y185" s="9" t="s">
        <v>26</v>
      </c>
      <c r="Z185" s="22">
        <v>0.65012000000000003</v>
      </c>
      <c r="AA185" s="22">
        <v>2.6193</v>
      </c>
      <c r="AB185" s="25">
        <v>2.2292999999999998</v>
      </c>
      <c r="AC185" s="9"/>
      <c r="AD185" s="9" t="s">
        <v>26</v>
      </c>
      <c r="AE185" s="22">
        <v>0.76849999999999996</v>
      </c>
      <c r="AF185" s="22">
        <v>1.11785</v>
      </c>
      <c r="AG185" s="13"/>
      <c r="AH185" s="9"/>
      <c r="AI185" s="9" t="s">
        <v>26</v>
      </c>
      <c r="AJ185" s="9"/>
      <c r="AK185" s="22">
        <v>14.8209</v>
      </c>
      <c r="AL185" s="25">
        <v>2.9095</v>
      </c>
      <c r="AM185" s="9"/>
      <c r="AN185" s="9" t="s">
        <v>26</v>
      </c>
      <c r="AO185" s="22">
        <v>1.6429</v>
      </c>
      <c r="AP185" s="22">
        <v>2.4563100000000002</v>
      </c>
      <c r="AQ185" s="25">
        <v>1.9829000000000001</v>
      </c>
      <c r="AR185" s="9"/>
      <c r="AS185" s="9" t="s">
        <v>26</v>
      </c>
      <c r="AT185" s="22">
        <v>1.2977000000000001</v>
      </c>
      <c r="AU185" s="22">
        <v>2.0688599999999999</v>
      </c>
      <c r="AV185" s="25">
        <v>1.9379</v>
      </c>
      <c r="AW185" s="9"/>
      <c r="AX185" s="9" t="s">
        <v>26</v>
      </c>
      <c r="AY185" s="22">
        <v>3.2547999999999999</v>
      </c>
      <c r="AZ185" s="22">
        <v>12.9596</v>
      </c>
      <c r="BA185" s="25">
        <v>1.0448999999999999</v>
      </c>
      <c r="BB185" s="9"/>
      <c r="BC185" s="9" t="s">
        <v>26</v>
      </c>
      <c r="BD185" s="22">
        <v>0.70799000000000001</v>
      </c>
      <c r="BE185" s="22">
        <v>0.86791200000000002</v>
      </c>
      <c r="BF185" s="25">
        <v>0.51215999999999995</v>
      </c>
      <c r="BG185" s="9"/>
      <c r="BH185" s="9" t="s">
        <v>26</v>
      </c>
      <c r="BI185" s="22">
        <v>4.3113999999999999</v>
      </c>
      <c r="BJ185" s="23">
        <v>14.514799999999999</v>
      </c>
    </row>
    <row r="186" spans="1:62" ht="15" thickBot="1" x14ac:dyDescent="0.4">
      <c r="A186" s="13" t="s">
        <v>168</v>
      </c>
      <c r="B186" s="13"/>
      <c r="C186" s="13" t="s">
        <v>58</v>
      </c>
      <c r="D186" s="13" t="s">
        <v>65</v>
      </c>
      <c r="E186" s="13">
        <v>6.5904000000000004E-2</v>
      </c>
      <c r="F186" s="21">
        <v>44882</v>
      </c>
      <c r="G186" s="13">
        <v>0.99482638888888886</v>
      </c>
      <c r="H186" s="26">
        <v>111.23</v>
      </c>
      <c r="I186" s="10"/>
      <c r="J186" s="10" t="s">
        <v>26</v>
      </c>
      <c r="K186" s="18">
        <v>7.0993000000000004</v>
      </c>
      <c r="L186" s="18">
        <v>9.2240300000000008</v>
      </c>
      <c r="M186" s="26">
        <v>23.667000000000002</v>
      </c>
      <c r="N186" s="10"/>
      <c r="O186" s="10" t="s">
        <v>26</v>
      </c>
      <c r="P186" s="18">
        <v>3.9357000000000002</v>
      </c>
      <c r="Q186" s="18">
        <v>24.866199999999999</v>
      </c>
      <c r="R186" s="11"/>
      <c r="S186" s="10"/>
      <c r="T186" s="10" t="s">
        <v>26</v>
      </c>
      <c r="U186" s="10"/>
      <c r="V186" s="18">
        <v>1.1625399999999999</v>
      </c>
      <c r="W186" s="11"/>
      <c r="X186" s="10"/>
      <c r="Y186" s="10" t="s">
        <v>26</v>
      </c>
      <c r="Z186" s="10"/>
      <c r="AA186" s="18">
        <v>4.6852799999999997</v>
      </c>
      <c r="AB186" s="26">
        <v>2.8818999999999999</v>
      </c>
      <c r="AC186" s="10"/>
      <c r="AD186" s="10" t="s">
        <v>26</v>
      </c>
      <c r="AE186" s="18">
        <v>0.73048999999999997</v>
      </c>
      <c r="AF186" s="18">
        <v>1.05325</v>
      </c>
      <c r="AG186" s="26">
        <v>4.4821999999999997</v>
      </c>
      <c r="AH186" s="10"/>
      <c r="AI186" s="10" t="s">
        <v>26</v>
      </c>
      <c r="AJ186" s="18">
        <v>1.4321999999999999</v>
      </c>
      <c r="AK186" s="18">
        <v>6.2493800000000004</v>
      </c>
      <c r="AL186" s="26">
        <v>0.49872</v>
      </c>
      <c r="AM186" s="10"/>
      <c r="AN186" s="10" t="s">
        <v>26</v>
      </c>
      <c r="AO186" s="18">
        <v>1.5995999999999999</v>
      </c>
      <c r="AP186" s="18">
        <v>2.34476</v>
      </c>
      <c r="AQ186" s="26">
        <v>1.1417999999999999</v>
      </c>
      <c r="AR186" s="10"/>
      <c r="AS186" s="10" t="s">
        <v>26</v>
      </c>
      <c r="AT186" s="18">
        <v>0.46916999999999998</v>
      </c>
      <c r="AU186" s="18">
        <v>2.0043000000000002</v>
      </c>
      <c r="AV186" s="26">
        <v>8.3771000000000004</v>
      </c>
      <c r="AW186" s="10"/>
      <c r="AX186" s="10" t="s">
        <v>26</v>
      </c>
      <c r="AY186" s="18">
        <v>3.4377</v>
      </c>
      <c r="AZ186" s="18">
        <v>14.608499999999999</v>
      </c>
      <c r="BA186" s="26">
        <v>1.1544000000000001</v>
      </c>
      <c r="BB186" s="10"/>
      <c r="BC186" s="10" t="s">
        <v>26</v>
      </c>
      <c r="BD186" s="18">
        <v>0.19173999999999999</v>
      </c>
      <c r="BE186" s="18">
        <v>0.95832700000000004</v>
      </c>
      <c r="BF186" s="26">
        <v>12.794</v>
      </c>
      <c r="BG186" s="10"/>
      <c r="BH186" s="10" t="s">
        <v>26</v>
      </c>
      <c r="BI186" s="18">
        <v>6.6668000000000003</v>
      </c>
      <c r="BJ186" s="19">
        <v>19.676100000000002</v>
      </c>
    </row>
    <row r="187" spans="1:62" ht="15" thickBot="1" x14ac:dyDescent="0.4">
      <c r="A187" s="10" t="s">
        <v>169</v>
      </c>
      <c r="B187" s="10"/>
      <c r="C187" s="11" t="s">
        <v>58</v>
      </c>
      <c r="D187" s="11" t="s">
        <v>65</v>
      </c>
      <c r="E187" s="11">
        <v>6.8557000000000007E-2</v>
      </c>
      <c r="F187" s="20">
        <v>44883</v>
      </c>
      <c r="G187" s="11">
        <v>2.7095486111111113</v>
      </c>
      <c r="H187" s="28">
        <v>138.12</v>
      </c>
      <c r="I187" s="15"/>
      <c r="J187" s="15" t="s">
        <v>26</v>
      </c>
      <c r="K187" s="16">
        <v>9.8948999999999998</v>
      </c>
      <c r="L187" s="16">
        <v>5.3976199999999999</v>
      </c>
      <c r="M187" s="28">
        <v>19.498999999999999</v>
      </c>
      <c r="N187" s="15"/>
      <c r="O187" s="15" t="s">
        <v>26</v>
      </c>
      <c r="P187" s="16">
        <v>2.4218999999999999</v>
      </c>
      <c r="Q187" s="16">
        <v>16.3475</v>
      </c>
      <c r="R187" s="14"/>
      <c r="S187" s="15"/>
      <c r="T187" s="15" t="s">
        <v>26</v>
      </c>
      <c r="U187" s="15"/>
      <c r="V187" s="16">
        <v>0.671408</v>
      </c>
      <c r="W187" s="28">
        <v>3.3487</v>
      </c>
      <c r="X187" s="15"/>
      <c r="Y187" s="15" t="s">
        <v>26</v>
      </c>
      <c r="Z187" s="16">
        <v>0.39977000000000001</v>
      </c>
      <c r="AA187" s="16">
        <v>1.7525299999999999</v>
      </c>
      <c r="AB187" s="28">
        <v>2.8306</v>
      </c>
      <c r="AC187" s="15"/>
      <c r="AD187" s="15" t="s">
        <v>26</v>
      </c>
      <c r="AE187" s="16">
        <v>0.38763999999999998</v>
      </c>
      <c r="AF187" s="16">
        <v>0.66284699999999996</v>
      </c>
      <c r="AG187" s="14"/>
      <c r="AH187" s="15"/>
      <c r="AI187" s="15" t="s">
        <v>26</v>
      </c>
      <c r="AJ187" s="15"/>
      <c r="AK187" s="16">
        <v>8.7018799999999992</v>
      </c>
      <c r="AL187" s="28">
        <v>1.1609</v>
      </c>
      <c r="AM187" s="15"/>
      <c r="AN187" s="15" t="s">
        <v>26</v>
      </c>
      <c r="AO187" s="16">
        <v>0.93242999999999998</v>
      </c>
      <c r="AP187" s="16">
        <v>1.5292399999999999</v>
      </c>
      <c r="AQ187" s="28">
        <v>1.0931</v>
      </c>
      <c r="AR187" s="15"/>
      <c r="AS187" s="15" t="s">
        <v>26</v>
      </c>
      <c r="AT187" s="16">
        <v>0.32289000000000001</v>
      </c>
      <c r="AU187" s="16">
        <v>1.3089200000000001</v>
      </c>
      <c r="AV187" s="28">
        <v>2.0186999999999999</v>
      </c>
      <c r="AW187" s="15"/>
      <c r="AX187" s="15" t="s">
        <v>26</v>
      </c>
      <c r="AY187" s="16">
        <v>3.8712</v>
      </c>
      <c r="AZ187" s="16">
        <v>10.324400000000001</v>
      </c>
      <c r="BA187" s="28">
        <v>1.2450000000000001</v>
      </c>
      <c r="BB187" s="15"/>
      <c r="BC187" s="15" t="s">
        <v>26</v>
      </c>
      <c r="BD187" s="16">
        <v>0.12556999999999999</v>
      </c>
      <c r="BE187" s="16">
        <v>0.58158200000000004</v>
      </c>
      <c r="BF187" s="28">
        <v>8.3794000000000004</v>
      </c>
      <c r="BG187" s="15"/>
      <c r="BH187" s="15" t="s">
        <v>26</v>
      </c>
      <c r="BI187" s="16">
        <v>1.4843999999999999</v>
      </c>
      <c r="BJ187" s="17">
        <v>9.7483199999999997</v>
      </c>
    </row>
    <row r="188" spans="1:62" ht="15" thickBot="1" x14ac:dyDescent="0.4"/>
    <row r="189" spans="1:62" ht="15" thickBot="1" x14ac:dyDescent="0.4">
      <c r="H189" s="13" t="s">
        <v>18</v>
      </c>
      <c r="I189" s="9" t="s">
        <v>24</v>
      </c>
      <c r="J189" s="9"/>
      <c r="K189" s="9"/>
      <c r="L189" s="9"/>
      <c r="M189" s="13" t="s">
        <v>1</v>
      </c>
      <c r="N189" s="9" t="s">
        <v>23</v>
      </c>
      <c r="O189" s="9"/>
      <c r="P189" s="9"/>
      <c r="Q189" s="9"/>
      <c r="R189" s="13" t="s">
        <v>2</v>
      </c>
      <c r="S189" s="9" t="s">
        <v>41</v>
      </c>
      <c r="T189" s="9"/>
      <c r="U189" s="9"/>
      <c r="V189" s="9"/>
      <c r="W189" s="13" t="s">
        <v>7</v>
      </c>
      <c r="X189" s="9" t="s">
        <v>50</v>
      </c>
      <c r="Y189" s="9"/>
      <c r="Z189" s="9"/>
      <c r="AA189" s="9"/>
      <c r="AB189" s="13" t="s">
        <v>16</v>
      </c>
      <c r="AC189" s="9" t="s">
        <v>51</v>
      </c>
      <c r="AD189" s="9"/>
      <c r="AE189" s="9"/>
      <c r="AF189" s="9"/>
      <c r="AG189" s="13" t="s">
        <v>17</v>
      </c>
      <c r="AH189" s="9" t="s">
        <v>52</v>
      </c>
      <c r="AI189" s="9"/>
      <c r="AJ189" s="9"/>
      <c r="AK189" s="9"/>
      <c r="AL189" s="13" t="s">
        <v>19</v>
      </c>
      <c r="AM189" s="9" t="s">
        <v>53</v>
      </c>
      <c r="AN189" s="9"/>
      <c r="AO189" s="9"/>
      <c r="AP189" s="9"/>
      <c r="AQ189" s="13" t="s">
        <v>21</v>
      </c>
      <c r="AR189" s="9" t="s">
        <v>54</v>
      </c>
      <c r="AS189" s="9"/>
      <c r="AT189" s="9"/>
      <c r="AU189" s="9"/>
      <c r="AV189" s="13" t="s">
        <v>56</v>
      </c>
      <c r="AW189" s="9" t="s">
        <v>57</v>
      </c>
      <c r="AX189" s="9"/>
      <c r="AY189" s="9"/>
      <c r="AZ189" s="9"/>
      <c r="BA189" s="13" t="s">
        <v>60</v>
      </c>
      <c r="BB189" s="9" t="s">
        <v>61</v>
      </c>
      <c r="BC189" s="9"/>
      <c r="BD189" s="9"/>
      <c r="BE189" s="9"/>
      <c r="BF189" s="13" t="s">
        <v>62</v>
      </c>
      <c r="BG189" s="9" t="s">
        <v>63</v>
      </c>
      <c r="BH189" s="9"/>
      <c r="BI189" s="9"/>
      <c r="BJ189" s="12"/>
    </row>
    <row r="190" spans="1:62" ht="15" thickBot="1" x14ac:dyDescent="0.4">
      <c r="A190" s="13" t="s">
        <v>30</v>
      </c>
      <c r="B190" s="13"/>
      <c r="C190" s="13" t="s">
        <v>29</v>
      </c>
      <c r="D190" s="13" t="s">
        <v>31</v>
      </c>
      <c r="E190" s="13" t="s">
        <v>27</v>
      </c>
      <c r="F190" s="13" t="s">
        <v>25</v>
      </c>
      <c r="G190" s="13" t="s">
        <v>28</v>
      </c>
      <c r="H190" s="11" t="s">
        <v>33</v>
      </c>
      <c r="I190" s="10" t="s">
        <v>34</v>
      </c>
      <c r="J190" s="10"/>
      <c r="K190" s="10" t="s">
        <v>35</v>
      </c>
      <c r="L190" s="10" t="s">
        <v>36</v>
      </c>
      <c r="M190" s="11" t="s">
        <v>33</v>
      </c>
      <c r="N190" s="10" t="s">
        <v>34</v>
      </c>
      <c r="O190" s="10"/>
      <c r="P190" s="10" t="s">
        <v>35</v>
      </c>
      <c r="Q190" s="10" t="s">
        <v>36</v>
      </c>
      <c r="R190" s="11" t="s">
        <v>33</v>
      </c>
      <c r="S190" s="10" t="s">
        <v>34</v>
      </c>
      <c r="T190" s="10"/>
      <c r="U190" s="10" t="s">
        <v>35</v>
      </c>
      <c r="V190" s="10" t="s">
        <v>36</v>
      </c>
      <c r="W190" s="11" t="s">
        <v>33</v>
      </c>
      <c r="X190" s="10" t="s">
        <v>34</v>
      </c>
      <c r="Y190" s="10"/>
      <c r="Z190" s="10" t="s">
        <v>35</v>
      </c>
      <c r="AA190" s="10" t="s">
        <v>36</v>
      </c>
      <c r="AB190" s="11" t="s">
        <v>33</v>
      </c>
      <c r="AC190" s="10" t="s">
        <v>34</v>
      </c>
      <c r="AD190" s="10"/>
      <c r="AE190" s="10" t="s">
        <v>35</v>
      </c>
      <c r="AF190" s="10" t="s">
        <v>36</v>
      </c>
      <c r="AG190" s="11" t="s">
        <v>33</v>
      </c>
      <c r="AH190" s="10" t="s">
        <v>34</v>
      </c>
      <c r="AI190" s="10"/>
      <c r="AJ190" s="10" t="s">
        <v>35</v>
      </c>
      <c r="AK190" s="10" t="s">
        <v>36</v>
      </c>
      <c r="AL190" s="11" t="s">
        <v>33</v>
      </c>
      <c r="AM190" s="10" t="s">
        <v>34</v>
      </c>
      <c r="AN190" s="10"/>
      <c r="AO190" s="10" t="s">
        <v>35</v>
      </c>
      <c r="AP190" s="10" t="s">
        <v>36</v>
      </c>
      <c r="AQ190" s="11" t="s">
        <v>33</v>
      </c>
      <c r="AR190" s="10" t="s">
        <v>34</v>
      </c>
      <c r="AS190" s="10"/>
      <c r="AT190" s="10" t="s">
        <v>35</v>
      </c>
      <c r="AU190" s="10" t="s">
        <v>36</v>
      </c>
      <c r="AV190" s="11" t="s">
        <v>33</v>
      </c>
      <c r="AW190" s="10" t="s">
        <v>34</v>
      </c>
      <c r="AX190" s="10"/>
      <c r="AY190" s="10" t="s">
        <v>35</v>
      </c>
      <c r="AZ190" s="10" t="s">
        <v>36</v>
      </c>
      <c r="BA190" s="11" t="s">
        <v>33</v>
      </c>
      <c r="BB190" s="10" t="s">
        <v>34</v>
      </c>
      <c r="BC190" s="10"/>
      <c r="BD190" s="10" t="s">
        <v>35</v>
      </c>
      <c r="BE190" s="10" t="s">
        <v>36</v>
      </c>
      <c r="BF190" s="11" t="s">
        <v>33</v>
      </c>
      <c r="BG190" s="10" t="s">
        <v>34</v>
      </c>
      <c r="BH190" s="10"/>
      <c r="BI190" s="10" t="s">
        <v>35</v>
      </c>
      <c r="BJ190" s="24" t="s">
        <v>36</v>
      </c>
    </row>
    <row r="191" spans="1:62" ht="15" thickBot="1" x14ac:dyDescent="0.4">
      <c r="A191" s="10" t="s">
        <v>170</v>
      </c>
      <c r="B191" s="10"/>
      <c r="C191" s="11" t="s">
        <v>42</v>
      </c>
      <c r="D191" s="11" t="s">
        <v>76</v>
      </c>
      <c r="E191" s="11">
        <v>6.8294999999999995E-2</v>
      </c>
      <c r="F191" s="20">
        <v>44852</v>
      </c>
      <c r="G191" s="11">
        <v>0.97493055555555552</v>
      </c>
      <c r="H191" s="28">
        <v>15.351000000000001</v>
      </c>
      <c r="I191" s="15"/>
      <c r="J191" s="15" t="s">
        <v>26</v>
      </c>
      <c r="K191" s="16">
        <v>123.72</v>
      </c>
      <c r="L191" s="16">
        <v>9.1746499999999997</v>
      </c>
      <c r="M191" s="28">
        <v>30.198</v>
      </c>
      <c r="N191" s="15"/>
      <c r="O191" s="15" t="s">
        <v>26</v>
      </c>
      <c r="P191" s="16">
        <v>1.8471</v>
      </c>
      <c r="Q191" s="16">
        <v>11.226599999999999</v>
      </c>
      <c r="R191" s="14"/>
      <c r="S191" s="15"/>
      <c r="T191" s="15" t="s">
        <v>26</v>
      </c>
      <c r="U191" s="15"/>
      <c r="V191" s="16">
        <v>0.64268199999999998</v>
      </c>
      <c r="W191" s="14"/>
      <c r="X191" s="15"/>
      <c r="Y191" s="15" t="s">
        <v>26</v>
      </c>
      <c r="Z191" s="15"/>
      <c r="AA191" s="16">
        <v>2.4442400000000002</v>
      </c>
      <c r="AB191" s="28">
        <v>1.599</v>
      </c>
      <c r="AC191" s="15"/>
      <c r="AD191" s="15" t="s">
        <v>26</v>
      </c>
      <c r="AE191" s="16">
        <v>0.15995000000000001</v>
      </c>
      <c r="AF191" s="16">
        <v>0.68949800000000006</v>
      </c>
      <c r="AG191" s="14"/>
      <c r="AH191" s="15"/>
      <c r="AI191" s="15" t="s">
        <v>26</v>
      </c>
      <c r="AJ191" s="15"/>
      <c r="AK191" s="16">
        <v>8.56311</v>
      </c>
      <c r="AL191" s="28">
        <v>1.9503999999999999</v>
      </c>
      <c r="AM191" s="15"/>
      <c r="AN191" s="15" t="s">
        <v>26</v>
      </c>
      <c r="AO191" s="16">
        <v>0.34710999999999997</v>
      </c>
      <c r="AP191" s="16">
        <v>2.03749</v>
      </c>
      <c r="AQ191" s="28">
        <v>2.4131</v>
      </c>
      <c r="AR191" s="15"/>
      <c r="AS191" s="15" t="s">
        <v>26</v>
      </c>
      <c r="AT191" s="16">
        <v>0.95774999999999999</v>
      </c>
      <c r="AU191" s="16">
        <v>2.0015000000000001</v>
      </c>
      <c r="AV191" s="28">
        <v>8.6258999999999997</v>
      </c>
      <c r="AW191" s="15"/>
      <c r="AX191" s="15" t="s">
        <v>26</v>
      </c>
      <c r="AY191" s="16">
        <v>3.2498</v>
      </c>
      <c r="AZ191" s="16">
        <v>8.9103700000000003</v>
      </c>
      <c r="BA191" s="14"/>
      <c r="BB191" s="15"/>
      <c r="BC191" s="15" t="s">
        <v>26</v>
      </c>
      <c r="BD191" s="15"/>
      <c r="BE191" s="16">
        <v>0.81484699999999999</v>
      </c>
      <c r="BF191" s="14"/>
      <c r="BG191" s="15"/>
      <c r="BH191" s="15" t="s">
        <v>26</v>
      </c>
      <c r="BI191" s="15"/>
      <c r="BJ191" s="17">
        <v>11.263</v>
      </c>
    </row>
    <row r="192" spans="1:62" ht="15" thickBot="1" x14ac:dyDescent="0.4"/>
    <row r="193" spans="1:62" ht="15" thickBot="1" x14ac:dyDescent="0.4">
      <c r="G193" s="13" t="s">
        <v>18</v>
      </c>
      <c r="H193" s="9" t="s">
        <v>24</v>
      </c>
      <c r="I193" s="9"/>
      <c r="J193" s="9"/>
      <c r="K193" s="9"/>
      <c r="L193" s="13" t="s">
        <v>1</v>
      </c>
      <c r="M193" s="9" t="s">
        <v>23</v>
      </c>
      <c r="N193" s="9"/>
      <c r="O193" s="9"/>
      <c r="P193" s="9"/>
      <c r="Q193" s="13" t="s">
        <v>2</v>
      </c>
      <c r="R193" s="9" t="s">
        <v>41</v>
      </c>
      <c r="S193" s="9"/>
      <c r="T193" s="9"/>
      <c r="U193" s="9"/>
      <c r="V193" s="13" t="s">
        <v>7</v>
      </c>
      <c r="W193" s="9" t="s">
        <v>50</v>
      </c>
      <c r="X193" s="9"/>
      <c r="Y193" s="9"/>
      <c r="Z193" s="9"/>
      <c r="AA193" s="13" t="s">
        <v>16</v>
      </c>
      <c r="AB193" s="9" t="s">
        <v>51</v>
      </c>
      <c r="AC193" s="9"/>
      <c r="AD193" s="9"/>
      <c r="AE193" s="9"/>
      <c r="AF193" s="13" t="s">
        <v>17</v>
      </c>
      <c r="AG193" s="9" t="s">
        <v>52</v>
      </c>
      <c r="AH193" s="9"/>
      <c r="AI193" s="9"/>
      <c r="AJ193" s="9"/>
      <c r="AK193" s="13" t="s">
        <v>19</v>
      </c>
      <c r="AL193" s="9" t="s">
        <v>53</v>
      </c>
      <c r="AM193" s="9"/>
      <c r="AN193" s="9"/>
      <c r="AO193" s="9"/>
      <c r="AP193" s="13" t="s">
        <v>21</v>
      </c>
      <c r="AQ193" s="9" t="s">
        <v>54</v>
      </c>
      <c r="AR193" s="9"/>
      <c r="AS193" s="9"/>
      <c r="AT193" s="9"/>
      <c r="AU193" s="13" t="s">
        <v>56</v>
      </c>
      <c r="AV193" s="9" t="s">
        <v>57</v>
      </c>
      <c r="AW193" s="9"/>
      <c r="AX193" s="9"/>
      <c r="AY193" s="9"/>
      <c r="AZ193" s="13" t="s">
        <v>60</v>
      </c>
      <c r="BA193" s="9" t="s">
        <v>61</v>
      </c>
      <c r="BB193" s="9"/>
      <c r="BC193" s="9"/>
      <c r="BD193" s="9"/>
      <c r="BE193" s="13" t="s">
        <v>62</v>
      </c>
      <c r="BF193" s="9" t="s">
        <v>63</v>
      </c>
      <c r="BG193" s="9"/>
      <c r="BH193" s="9"/>
      <c r="BI193" s="12"/>
    </row>
    <row r="194" spans="1:62" ht="15" thickBot="1" x14ac:dyDescent="0.4">
      <c r="A194" s="13" t="s">
        <v>30</v>
      </c>
      <c r="B194" s="13" t="s">
        <v>29</v>
      </c>
      <c r="C194" s="13" t="s">
        <v>31</v>
      </c>
      <c r="D194" s="13" t="s">
        <v>27</v>
      </c>
      <c r="E194" s="13" t="s">
        <v>25</v>
      </c>
      <c r="F194" s="13" t="s">
        <v>28</v>
      </c>
      <c r="G194" s="13" t="s">
        <v>33</v>
      </c>
      <c r="H194" s="9" t="s">
        <v>34</v>
      </c>
      <c r="I194" s="9"/>
      <c r="J194" s="9" t="s">
        <v>35</v>
      </c>
      <c r="K194" s="9" t="s">
        <v>36</v>
      </c>
      <c r="L194" s="13" t="s">
        <v>33</v>
      </c>
      <c r="M194" s="9" t="s">
        <v>34</v>
      </c>
      <c r="N194" s="9"/>
      <c r="O194" s="9" t="s">
        <v>35</v>
      </c>
      <c r="P194" s="9" t="s">
        <v>36</v>
      </c>
      <c r="Q194" s="13" t="s">
        <v>33</v>
      </c>
      <c r="R194" s="9" t="s">
        <v>34</v>
      </c>
      <c r="S194" s="9"/>
      <c r="T194" s="9" t="s">
        <v>35</v>
      </c>
      <c r="U194" s="9" t="s">
        <v>36</v>
      </c>
      <c r="V194" s="13" t="s">
        <v>33</v>
      </c>
      <c r="W194" s="9" t="s">
        <v>34</v>
      </c>
      <c r="X194" s="9"/>
      <c r="Y194" s="9" t="s">
        <v>35</v>
      </c>
      <c r="Z194" s="9" t="s">
        <v>36</v>
      </c>
      <c r="AA194" s="13" t="s">
        <v>33</v>
      </c>
      <c r="AB194" s="9" t="s">
        <v>34</v>
      </c>
      <c r="AC194" s="9"/>
      <c r="AD194" s="9" t="s">
        <v>35</v>
      </c>
      <c r="AE194" s="9" t="s">
        <v>36</v>
      </c>
      <c r="AF194" s="13" t="s">
        <v>33</v>
      </c>
      <c r="AG194" s="9" t="s">
        <v>34</v>
      </c>
      <c r="AH194" s="9"/>
      <c r="AI194" s="9" t="s">
        <v>35</v>
      </c>
      <c r="AJ194" s="9" t="s">
        <v>36</v>
      </c>
      <c r="AK194" s="13" t="s">
        <v>33</v>
      </c>
      <c r="AL194" s="9" t="s">
        <v>34</v>
      </c>
      <c r="AM194" s="9"/>
      <c r="AN194" s="9" t="s">
        <v>35</v>
      </c>
      <c r="AO194" s="9" t="s">
        <v>36</v>
      </c>
      <c r="AP194" s="13" t="s">
        <v>33</v>
      </c>
      <c r="AQ194" s="9" t="s">
        <v>34</v>
      </c>
      <c r="AR194" s="9"/>
      <c r="AS194" s="9" t="s">
        <v>35</v>
      </c>
      <c r="AT194" s="9" t="s">
        <v>36</v>
      </c>
      <c r="AU194" s="13" t="s">
        <v>33</v>
      </c>
      <c r="AV194" s="9" t="s">
        <v>34</v>
      </c>
      <c r="AW194" s="9"/>
      <c r="AX194" s="9" t="s">
        <v>35</v>
      </c>
      <c r="AY194" s="9" t="s">
        <v>36</v>
      </c>
      <c r="AZ194" s="13" t="s">
        <v>33</v>
      </c>
      <c r="BA194" s="9" t="s">
        <v>34</v>
      </c>
      <c r="BB194" s="9"/>
      <c r="BC194" s="9" t="s">
        <v>35</v>
      </c>
      <c r="BD194" s="9" t="s">
        <v>36</v>
      </c>
      <c r="BE194" s="13" t="s">
        <v>33</v>
      </c>
      <c r="BF194" s="9" t="s">
        <v>34</v>
      </c>
      <c r="BG194" s="9"/>
      <c r="BH194" s="9" t="s">
        <v>35</v>
      </c>
      <c r="BI194" s="12" t="s">
        <v>36</v>
      </c>
    </row>
    <row r="195" spans="1:62" ht="15" thickBot="1" x14ac:dyDescent="0.4">
      <c r="A195" s="13" t="s">
        <v>154</v>
      </c>
      <c r="B195" s="13"/>
      <c r="C195" s="13" t="s">
        <v>42</v>
      </c>
      <c r="D195" s="13" t="s">
        <v>76</v>
      </c>
      <c r="E195" s="13">
        <v>5.3353999999999999E-2</v>
      </c>
      <c r="F195" s="21">
        <v>44874</v>
      </c>
      <c r="G195" s="13">
        <v>1.0712615740740741</v>
      </c>
      <c r="H195" s="25">
        <v>102.08</v>
      </c>
      <c r="I195" s="9"/>
      <c r="J195" s="9" t="s">
        <v>26</v>
      </c>
      <c r="K195" s="22">
        <v>6.0618999999999996</v>
      </c>
      <c r="L195" s="22">
        <v>13.859500000000001</v>
      </c>
      <c r="M195" s="25">
        <v>49.5</v>
      </c>
      <c r="N195" s="9"/>
      <c r="O195" s="9" t="s">
        <v>26</v>
      </c>
      <c r="P195" s="22">
        <v>7.5549999999999997</v>
      </c>
      <c r="Q195" s="22">
        <v>15.026</v>
      </c>
      <c r="R195" s="13"/>
      <c r="S195" s="9"/>
      <c r="T195" s="9" t="s">
        <v>26</v>
      </c>
      <c r="U195" s="9"/>
      <c r="V195" s="22">
        <v>0.83157800000000004</v>
      </c>
      <c r="W195" s="25">
        <v>4.6509999999999998</v>
      </c>
      <c r="X195" s="9"/>
      <c r="Y195" s="9" t="s">
        <v>26</v>
      </c>
      <c r="Z195" s="22">
        <v>0.88875000000000004</v>
      </c>
      <c r="AA195" s="22">
        <v>2.9581599999999999</v>
      </c>
      <c r="AB195" s="25">
        <v>9.6166</v>
      </c>
      <c r="AC195" s="9"/>
      <c r="AD195" s="9" t="s">
        <v>26</v>
      </c>
      <c r="AE195" s="22">
        <v>0.41044000000000003</v>
      </c>
      <c r="AF195" s="22">
        <v>0.92613400000000001</v>
      </c>
      <c r="AG195" s="13"/>
      <c r="AH195" s="9"/>
      <c r="AI195" s="9" t="s">
        <v>26</v>
      </c>
      <c r="AJ195" s="9"/>
      <c r="AK195" s="22">
        <v>11.463100000000001</v>
      </c>
      <c r="AL195" s="25">
        <v>10.587999999999999</v>
      </c>
      <c r="AM195" s="9"/>
      <c r="AN195" s="9" t="s">
        <v>26</v>
      </c>
      <c r="AO195" s="22">
        <v>0.52471000000000001</v>
      </c>
      <c r="AP195" s="22">
        <v>2.8010999999999999</v>
      </c>
      <c r="AQ195" s="25">
        <v>12.037000000000001</v>
      </c>
      <c r="AR195" s="9"/>
      <c r="AS195" s="9" t="s">
        <v>26</v>
      </c>
      <c r="AT195" s="22">
        <v>1.3478000000000001</v>
      </c>
      <c r="AU195" s="22">
        <v>2.9114399999999998</v>
      </c>
      <c r="AV195" s="25">
        <v>37.703000000000003</v>
      </c>
      <c r="AW195" s="9"/>
      <c r="AX195" s="9" t="s">
        <v>26</v>
      </c>
      <c r="AY195" s="22">
        <v>4.7954999999999997</v>
      </c>
      <c r="AZ195" s="22">
        <v>20.634499999999999</v>
      </c>
      <c r="BA195" s="25">
        <v>2.996</v>
      </c>
      <c r="BB195" s="9"/>
      <c r="BC195" s="9" t="s">
        <v>26</v>
      </c>
      <c r="BD195" s="22">
        <v>0.19821</v>
      </c>
      <c r="BE195" s="22">
        <v>1.12483</v>
      </c>
      <c r="BF195" s="25">
        <v>22.940999999999999</v>
      </c>
      <c r="BG195" s="9"/>
      <c r="BH195" s="9" t="s">
        <v>26</v>
      </c>
      <c r="BI195" s="22">
        <v>10.191000000000001</v>
      </c>
      <c r="BJ195" s="23">
        <v>15.9884</v>
      </c>
    </row>
    <row r="196" spans="1:62" ht="15" thickBot="1" x14ac:dyDescent="0.4">
      <c r="A196" s="13" t="s">
        <v>155</v>
      </c>
      <c r="B196" s="13"/>
      <c r="C196" s="13" t="s">
        <v>42</v>
      </c>
      <c r="D196" s="13" t="s">
        <v>76</v>
      </c>
      <c r="E196" s="13">
        <v>5.9218E-2</v>
      </c>
      <c r="F196" s="21">
        <v>44875</v>
      </c>
      <c r="G196" s="13">
        <v>1.1058680555555556</v>
      </c>
      <c r="H196" s="25">
        <v>45.801000000000002</v>
      </c>
      <c r="I196" s="9"/>
      <c r="J196" s="9" t="s">
        <v>26</v>
      </c>
      <c r="K196" s="22">
        <v>7.4688999999999997</v>
      </c>
      <c r="L196" s="22">
        <v>8.4642800000000005</v>
      </c>
      <c r="M196" s="25">
        <v>33.393999999999998</v>
      </c>
      <c r="N196" s="9"/>
      <c r="O196" s="9" t="s">
        <v>26</v>
      </c>
      <c r="P196" s="22">
        <v>5.7453000000000003</v>
      </c>
      <c r="Q196" s="22">
        <v>8.2010100000000001</v>
      </c>
      <c r="R196" s="13"/>
      <c r="S196" s="9"/>
      <c r="T196" s="9" t="s">
        <v>26</v>
      </c>
      <c r="U196" s="9"/>
      <c r="V196" s="22">
        <v>0.69692299999999996</v>
      </c>
      <c r="W196" s="25">
        <v>2.2970999999999999</v>
      </c>
      <c r="X196" s="9"/>
      <c r="Y196" s="9" t="s">
        <v>26</v>
      </c>
      <c r="Z196" s="22">
        <v>0.32234000000000002</v>
      </c>
      <c r="AA196" s="22">
        <v>1.7175100000000001</v>
      </c>
      <c r="AB196" s="25">
        <v>3.3353000000000002</v>
      </c>
      <c r="AC196" s="9"/>
      <c r="AD196" s="9" t="s">
        <v>26</v>
      </c>
      <c r="AE196" s="22">
        <v>0.58984000000000003</v>
      </c>
      <c r="AF196" s="22">
        <v>0.77571000000000001</v>
      </c>
      <c r="AG196" s="13"/>
      <c r="AH196" s="9"/>
      <c r="AI196" s="9" t="s">
        <v>26</v>
      </c>
      <c r="AJ196" s="9"/>
      <c r="AK196" s="22">
        <v>9.2975999999999992</v>
      </c>
      <c r="AL196" s="25">
        <v>0.42455999999999999</v>
      </c>
      <c r="AM196" s="9"/>
      <c r="AN196" s="9" t="s">
        <v>26</v>
      </c>
      <c r="AO196" s="22">
        <v>0.36199999999999999</v>
      </c>
      <c r="AP196" s="22">
        <v>2.3201100000000001</v>
      </c>
      <c r="AQ196" s="25">
        <v>0.63968000000000003</v>
      </c>
      <c r="AR196" s="9"/>
      <c r="AS196" s="9" t="s">
        <v>26</v>
      </c>
      <c r="AT196" s="22">
        <v>0.99741999999999997</v>
      </c>
      <c r="AU196" s="22">
        <v>2.4248500000000002</v>
      </c>
      <c r="AV196" s="25">
        <v>14.981999999999999</v>
      </c>
      <c r="AW196" s="9"/>
      <c r="AX196" s="9" t="s">
        <v>26</v>
      </c>
      <c r="AY196" s="22">
        <v>2.5367999999999999</v>
      </c>
      <c r="AZ196" s="22">
        <v>30.0091</v>
      </c>
      <c r="BA196" s="25">
        <v>0.9798</v>
      </c>
      <c r="BB196" s="9"/>
      <c r="BC196" s="9" t="s">
        <v>26</v>
      </c>
      <c r="BD196" s="22">
        <v>0.22511999999999999</v>
      </c>
      <c r="BE196" s="22">
        <v>0.68951399999999996</v>
      </c>
      <c r="BF196" s="25">
        <v>10.677</v>
      </c>
      <c r="BG196" s="9"/>
      <c r="BH196" s="9" t="s">
        <v>26</v>
      </c>
      <c r="BI196" s="22">
        <v>1.6226</v>
      </c>
      <c r="BJ196" s="23">
        <v>10.4918</v>
      </c>
    </row>
    <row r="197" spans="1:62" ht="15" thickBot="1" x14ac:dyDescent="0.4">
      <c r="A197" s="13" t="s">
        <v>156</v>
      </c>
      <c r="B197" s="13"/>
      <c r="C197" s="13" t="s">
        <v>42</v>
      </c>
      <c r="D197" s="13" t="s">
        <v>76</v>
      </c>
      <c r="E197" s="13">
        <v>5.8744999999999999E-2</v>
      </c>
      <c r="F197" s="21">
        <v>44876</v>
      </c>
      <c r="G197" s="13">
        <v>2.6902199074074074</v>
      </c>
      <c r="H197" s="25">
        <v>34.731999999999999</v>
      </c>
      <c r="I197" s="9"/>
      <c r="J197" s="9" t="s">
        <v>26</v>
      </c>
      <c r="K197" s="22">
        <v>3.8647</v>
      </c>
      <c r="L197" s="22">
        <v>7.5520199999999997</v>
      </c>
      <c r="M197" s="25">
        <v>34.049999999999997</v>
      </c>
      <c r="N197" s="9"/>
      <c r="O197" s="9" t="s">
        <v>26</v>
      </c>
      <c r="P197" s="22">
        <v>1.4031</v>
      </c>
      <c r="Q197" s="22">
        <v>7.9513299999999996</v>
      </c>
      <c r="R197" s="13"/>
      <c r="S197" s="9"/>
      <c r="T197" s="9" t="s">
        <v>26</v>
      </c>
      <c r="U197" s="9"/>
      <c r="V197" s="22">
        <v>0.45364599999999999</v>
      </c>
      <c r="W197" s="25">
        <v>2.0882000000000001</v>
      </c>
      <c r="X197" s="9"/>
      <c r="Y197" s="9" t="s">
        <v>26</v>
      </c>
      <c r="Z197" s="22">
        <v>0.21173</v>
      </c>
      <c r="AA197" s="22">
        <v>1.4221900000000001</v>
      </c>
      <c r="AB197" s="25">
        <v>2.4725999999999999</v>
      </c>
      <c r="AC197" s="9"/>
      <c r="AD197" s="9" t="s">
        <v>26</v>
      </c>
      <c r="AE197" s="22">
        <v>0.42197000000000001</v>
      </c>
      <c r="AF197" s="22">
        <v>0.477628</v>
      </c>
      <c r="AG197" s="13"/>
      <c r="AH197" s="9"/>
      <c r="AI197" s="9" t="s">
        <v>26</v>
      </c>
      <c r="AJ197" s="9"/>
      <c r="AK197" s="22">
        <v>5.9595099999999999</v>
      </c>
      <c r="AL197" s="25">
        <v>0.50958000000000003</v>
      </c>
      <c r="AM197" s="9"/>
      <c r="AN197" s="9" t="s">
        <v>26</v>
      </c>
      <c r="AO197" s="22">
        <v>0.72506999999999999</v>
      </c>
      <c r="AP197" s="22">
        <v>1.63811</v>
      </c>
      <c r="AQ197" s="25">
        <v>0.55749000000000004</v>
      </c>
      <c r="AR197" s="9"/>
      <c r="AS197" s="9" t="s">
        <v>26</v>
      </c>
      <c r="AT197" s="22">
        <v>0.68308000000000002</v>
      </c>
      <c r="AU197" s="22">
        <v>1.9130799999999999</v>
      </c>
      <c r="AV197" s="25">
        <v>12.622</v>
      </c>
      <c r="AW197" s="9"/>
      <c r="AX197" s="9" t="s">
        <v>26</v>
      </c>
      <c r="AY197" s="22">
        <v>1.4325000000000001</v>
      </c>
      <c r="AZ197" s="22">
        <v>11.8733</v>
      </c>
      <c r="BA197" s="25">
        <v>0.87475000000000003</v>
      </c>
      <c r="BB197" s="9"/>
      <c r="BC197" s="9" t="s">
        <v>26</v>
      </c>
      <c r="BD197" s="22">
        <v>7.8012999999999999E-2</v>
      </c>
      <c r="BE197" s="22">
        <v>0.51507999999999998</v>
      </c>
      <c r="BF197" s="25">
        <v>9.5824999999999996</v>
      </c>
      <c r="BG197" s="9"/>
      <c r="BH197" s="9" t="s">
        <v>26</v>
      </c>
      <c r="BI197" s="22">
        <v>0.92215999999999998</v>
      </c>
      <c r="BJ197" s="23">
        <v>4.3784900000000002</v>
      </c>
    </row>
    <row r="198" spans="1:62" ht="15" thickBot="1" x14ac:dyDescent="0.4">
      <c r="A198" s="13" t="s">
        <v>157</v>
      </c>
      <c r="B198" s="13"/>
      <c r="C198" s="13" t="s">
        <v>42</v>
      </c>
      <c r="D198" s="13" t="s">
        <v>76</v>
      </c>
      <c r="E198" s="13">
        <v>5.7148999999999998E-2</v>
      </c>
      <c r="F198" s="21">
        <v>44879</v>
      </c>
      <c r="G198" s="13">
        <v>0.99180555555555561</v>
      </c>
      <c r="H198" s="25">
        <v>27.123999999999999</v>
      </c>
      <c r="I198" s="9"/>
      <c r="J198" s="9" t="s">
        <v>26</v>
      </c>
      <c r="K198" s="22">
        <v>2.5506000000000002</v>
      </c>
      <c r="L198" s="22">
        <v>10.7155</v>
      </c>
      <c r="M198" s="25">
        <v>40.92</v>
      </c>
      <c r="N198" s="9"/>
      <c r="O198" s="9" t="s">
        <v>26</v>
      </c>
      <c r="P198" s="22">
        <v>2.327</v>
      </c>
      <c r="Q198" s="22">
        <v>13.9474</v>
      </c>
      <c r="R198" s="13"/>
      <c r="S198" s="9"/>
      <c r="T198" s="9" t="s">
        <v>26</v>
      </c>
      <c r="U198" s="9"/>
      <c r="V198" s="22">
        <v>0.79097099999999998</v>
      </c>
      <c r="W198" s="25">
        <v>2.5402</v>
      </c>
      <c r="X198" s="9"/>
      <c r="Y198" s="9" t="s">
        <v>26</v>
      </c>
      <c r="Z198" s="22">
        <v>0.36460999999999999</v>
      </c>
      <c r="AA198" s="22">
        <v>1.79657</v>
      </c>
      <c r="AB198" s="25">
        <v>2.7871999999999999</v>
      </c>
      <c r="AC198" s="9"/>
      <c r="AD198" s="9" t="s">
        <v>26</v>
      </c>
      <c r="AE198" s="22">
        <v>0.21301</v>
      </c>
      <c r="AF198" s="22">
        <v>0.81306100000000003</v>
      </c>
      <c r="AG198" s="13"/>
      <c r="AH198" s="9"/>
      <c r="AI198" s="9" t="s">
        <v>26</v>
      </c>
      <c r="AJ198" s="9"/>
      <c r="AK198" s="22">
        <v>10.1774</v>
      </c>
      <c r="AL198" s="25">
        <v>0.28358</v>
      </c>
      <c r="AM198" s="9"/>
      <c r="AN198" s="9" t="s">
        <v>26</v>
      </c>
      <c r="AO198" s="22">
        <v>0.39232</v>
      </c>
      <c r="AP198" s="22">
        <v>2.5510899999999999</v>
      </c>
      <c r="AQ198" s="25">
        <v>0.67376000000000003</v>
      </c>
      <c r="AR198" s="9"/>
      <c r="AS198" s="9" t="s">
        <v>26</v>
      </c>
      <c r="AT198" s="22">
        <v>1.0639000000000001</v>
      </c>
      <c r="AU198" s="22">
        <v>2.7030799999999999</v>
      </c>
      <c r="AV198" s="25">
        <v>10.874000000000001</v>
      </c>
      <c r="AW198" s="9"/>
      <c r="AX198" s="9" t="s">
        <v>26</v>
      </c>
      <c r="AY198" s="22">
        <v>2.6019000000000001</v>
      </c>
      <c r="AZ198" s="22">
        <v>33.131300000000003</v>
      </c>
      <c r="BA198" s="25">
        <v>0.85982000000000003</v>
      </c>
      <c r="BB198" s="9"/>
      <c r="BC198" s="9" t="s">
        <v>26</v>
      </c>
      <c r="BD198" s="22">
        <v>0.12964999999999999</v>
      </c>
      <c r="BE198" s="22">
        <v>0.66796100000000003</v>
      </c>
      <c r="BF198" s="25">
        <v>11.353999999999999</v>
      </c>
      <c r="BG198" s="9"/>
      <c r="BH198" s="9" t="s">
        <v>26</v>
      </c>
      <c r="BI198" s="22">
        <v>1.712</v>
      </c>
      <c r="BJ198" s="23">
        <v>11.141400000000001</v>
      </c>
    </row>
    <row r="199" spans="1:62" ht="15" thickBot="1" x14ac:dyDescent="0.4">
      <c r="A199" s="13" t="s">
        <v>158</v>
      </c>
      <c r="B199" s="13"/>
      <c r="C199" s="13" t="s">
        <v>42</v>
      </c>
      <c r="D199" s="13" t="s">
        <v>76</v>
      </c>
      <c r="E199" s="13">
        <v>6.1779000000000001E-2</v>
      </c>
      <c r="F199" s="21">
        <v>44880</v>
      </c>
      <c r="G199" s="13">
        <v>1.0382523148148148</v>
      </c>
      <c r="H199" s="25">
        <v>28.306999999999999</v>
      </c>
      <c r="I199" s="9"/>
      <c r="J199" s="9" t="s">
        <v>26</v>
      </c>
      <c r="K199" s="22">
        <v>6.4089</v>
      </c>
      <c r="L199" s="22">
        <v>9.8449399999999994</v>
      </c>
      <c r="M199" s="25">
        <v>38.472000000000001</v>
      </c>
      <c r="N199" s="9"/>
      <c r="O199" s="9" t="s">
        <v>26</v>
      </c>
      <c r="P199" s="22">
        <v>5.6208999999999998</v>
      </c>
      <c r="Q199" s="22">
        <v>7.5369000000000002</v>
      </c>
      <c r="R199" s="13"/>
      <c r="S199" s="9"/>
      <c r="T199" s="9" t="s">
        <v>26</v>
      </c>
      <c r="U199" s="9"/>
      <c r="V199" s="22">
        <v>0.70938500000000004</v>
      </c>
      <c r="W199" s="25">
        <v>2.0842000000000001</v>
      </c>
      <c r="X199" s="9"/>
      <c r="Y199" s="9" t="s">
        <v>26</v>
      </c>
      <c r="Z199" s="22">
        <v>1.0911999999999999</v>
      </c>
      <c r="AA199" s="22">
        <v>2.8616199999999998</v>
      </c>
      <c r="AB199" s="25">
        <v>2.3071000000000002</v>
      </c>
      <c r="AC199" s="9"/>
      <c r="AD199" s="9" t="s">
        <v>26</v>
      </c>
      <c r="AE199" s="22">
        <v>0.19120000000000001</v>
      </c>
      <c r="AF199" s="22">
        <v>0.80673300000000003</v>
      </c>
      <c r="AG199" s="13"/>
      <c r="AH199" s="9"/>
      <c r="AI199" s="9" t="s">
        <v>26</v>
      </c>
      <c r="AJ199" s="9"/>
      <c r="AK199" s="22">
        <v>9.4925800000000002</v>
      </c>
      <c r="AL199" s="25">
        <v>0.71055000000000001</v>
      </c>
      <c r="AM199" s="9"/>
      <c r="AN199" s="9" t="s">
        <v>26</v>
      </c>
      <c r="AO199" s="22">
        <v>0.76712000000000002</v>
      </c>
      <c r="AP199" s="22">
        <v>2.53742</v>
      </c>
      <c r="AQ199" s="25">
        <v>0.78900000000000003</v>
      </c>
      <c r="AR199" s="9"/>
      <c r="AS199" s="9" t="s">
        <v>26</v>
      </c>
      <c r="AT199" s="22">
        <v>1.3185</v>
      </c>
      <c r="AU199" s="22">
        <v>2.3045599999999999</v>
      </c>
      <c r="AV199" s="13"/>
      <c r="AW199" s="9"/>
      <c r="AX199" s="9" t="s">
        <v>26</v>
      </c>
      <c r="AY199" s="9"/>
      <c r="AZ199" s="22">
        <v>18.473500000000001</v>
      </c>
      <c r="BA199" s="25">
        <v>0.51868999999999998</v>
      </c>
      <c r="BB199" s="9"/>
      <c r="BC199" s="9" t="s">
        <v>26</v>
      </c>
      <c r="BD199" s="22">
        <v>0.10648000000000001</v>
      </c>
      <c r="BE199" s="22">
        <v>0.64313799999999999</v>
      </c>
      <c r="BF199" s="13"/>
      <c r="BG199" s="9"/>
      <c r="BH199" s="9" t="s">
        <v>26</v>
      </c>
      <c r="BI199" s="9"/>
      <c r="BJ199" s="23">
        <v>11.651899999999999</v>
      </c>
    </row>
    <row r="200" spans="1:62" ht="15" thickBot="1" x14ac:dyDescent="0.4">
      <c r="A200" s="13" t="s">
        <v>159</v>
      </c>
      <c r="B200" s="13"/>
      <c r="C200" s="13" t="s">
        <v>42</v>
      </c>
      <c r="D200" s="13" t="s">
        <v>76</v>
      </c>
      <c r="E200" s="13">
        <v>6.6324999999999995E-2</v>
      </c>
      <c r="F200" s="21">
        <v>44881</v>
      </c>
      <c r="G200" s="13">
        <v>0.97053240740740732</v>
      </c>
      <c r="H200" s="25">
        <v>105.77</v>
      </c>
      <c r="I200" s="9"/>
      <c r="J200" s="9" t="s">
        <v>26</v>
      </c>
      <c r="K200" s="22">
        <v>8.8618000000000006</v>
      </c>
      <c r="L200" s="22">
        <v>9.9847099999999998</v>
      </c>
      <c r="M200" s="25">
        <v>27.495999999999999</v>
      </c>
      <c r="N200" s="9"/>
      <c r="O200" s="9" t="s">
        <v>26</v>
      </c>
      <c r="P200" s="22">
        <v>1.9116</v>
      </c>
      <c r="Q200" s="22">
        <v>7.5491999999999999</v>
      </c>
      <c r="R200" s="13"/>
      <c r="S200" s="9"/>
      <c r="T200" s="9" t="s">
        <v>26</v>
      </c>
      <c r="U200" s="9"/>
      <c r="V200" s="22">
        <v>0.70385399999999998</v>
      </c>
      <c r="W200" s="25">
        <v>2.0546000000000002</v>
      </c>
      <c r="X200" s="9"/>
      <c r="Y200" s="9" t="s">
        <v>26</v>
      </c>
      <c r="Z200" s="22">
        <v>0.32316</v>
      </c>
      <c r="AA200" s="22">
        <v>1.7856399999999999</v>
      </c>
      <c r="AB200" s="25">
        <v>3.7686999999999999</v>
      </c>
      <c r="AC200" s="9"/>
      <c r="AD200" s="9" t="s">
        <v>26</v>
      </c>
      <c r="AE200" s="22">
        <v>0.22306000000000001</v>
      </c>
      <c r="AF200" s="22">
        <v>0.73619400000000002</v>
      </c>
      <c r="AG200" s="13"/>
      <c r="AH200" s="9"/>
      <c r="AI200" s="9" t="s">
        <v>26</v>
      </c>
      <c r="AJ200" s="9"/>
      <c r="AK200" s="22">
        <v>9.31691</v>
      </c>
      <c r="AL200" s="25">
        <v>4.0911</v>
      </c>
      <c r="AM200" s="9"/>
      <c r="AN200" s="9" t="s">
        <v>26</v>
      </c>
      <c r="AO200" s="22">
        <v>1.1888000000000001</v>
      </c>
      <c r="AP200" s="22">
        <v>1.9025399999999999</v>
      </c>
      <c r="AQ200" s="25">
        <v>1.7146999999999999</v>
      </c>
      <c r="AR200" s="9"/>
      <c r="AS200" s="9" t="s">
        <v>26</v>
      </c>
      <c r="AT200" s="22">
        <v>0.98872000000000004</v>
      </c>
      <c r="AU200" s="22">
        <v>2.2803300000000002</v>
      </c>
      <c r="AV200" s="13"/>
      <c r="AW200" s="9"/>
      <c r="AX200" s="9" t="s">
        <v>26</v>
      </c>
      <c r="AY200" s="9"/>
      <c r="AZ200" s="22">
        <v>17.699200000000001</v>
      </c>
      <c r="BA200" s="25">
        <v>1.0569999999999999</v>
      </c>
      <c r="BB200" s="9"/>
      <c r="BC200" s="9" t="s">
        <v>26</v>
      </c>
      <c r="BD200" s="22">
        <v>0.56242000000000003</v>
      </c>
      <c r="BE200" s="22">
        <v>0.68069199999999996</v>
      </c>
      <c r="BF200" s="13"/>
      <c r="BG200" s="9"/>
      <c r="BH200" s="9" t="s">
        <v>26</v>
      </c>
      <c r="BI200" s="9"/>
      <c r="BJ200" s="23">
        <v>12.1662</v>
      </c>
    </row>
    <row r="201" spans="1:62" ht="15" thickBot="1" x14ac:dyDescent="0.4">
      <c r="A201" s="13" t="s">
        <v>160</v>
      </c>
      <c r="B201" s="13"/>
      <c r="C201" s="13" t="s">
        <v>42</v>
      </c>
      <c r="D201" s="13" t="s">
        <v>76</v>
      </c>
      <c r="E201" s="13">
        <v>6.4195000000000002E-2</v>
      </c>
      <c r="F201" s="21">
        <v>44882</v>
      </c>
      <c r="G201" s="13">
        <v>0.99976851851851867</v>
      </c>
      <c r="H201" s="25">
        <v>142.28</v>
      </c>
      <c r="I201" s="9"/>
      <c r="J201" s="9" t="s">
        <v>26</v>
      </c>
      <c r="K201" s="22">
        <v>10.804</v>
      </c>
      <c r="L201" s="22">
        <v>10.119300000000001</v>
      </c>
      <c r="M201" s="25">
        <v>24.077000000000002</v>
      </c>
      <c r="N201" s="9"/>
      <c r="O201" s="9" t="s">
        <v>26</v>
      </c>
      <c r="P201" s="22">
        <v>6.0777000000000001</v>
      </c>
      <c r="Q201" s="22">
        <v>13.3682</v>
      </c>
      <c r="R201" s="13"/>
      <c r="S201" s="9"/>
      <c r="T201" s="9" t="s">
        <v>26</v>
      </c>
      <c r="U201" s="9"/>
      <c r="V201" s="22">
        <v>0.69238900000000003</v>
      </c>
      <c r="W201" s="25">
        <v>2.6145</v>
      </c>
      <c r="X201" s="9"/>
      <c r="Y201" s="9" t="s">
        <v>26</v>
      </c>
      <c r="Z201" s="22">
        <v>0.35438999999999998</v>
      </c>
      <c r="AA201" s="22">
        <v>1.80403</v>
      </c>
      <c r="AB201" s="25">
        <v>2.6446000000000001</v>
      </c>
      <c r="AC201" s="9"/>
      <c r="AD201" s="9" t="s">
        <v>26</v>
      </c>
      <c r="AE201" s="22">
        <v>0.20150000000000001</v>
      </c>
      <c r="AF201" s="22">
        <v>1.1391</v>
      </c>
      <c r="AG201" s="13"/>
      <c r="AH201" s="9"/>
      <c r="AI201" s="9" t="s">
        <v>26</v>
      </c>
      <c r="AJ201" s="9"/>
      <c r="AK201" s="22">
        <v>9.5481800000000003</v>
      </c>
      <c r="AL201" s="25">
        <v>1.3573</v>
      </c>
      <c r="AM201" s="9"/>
      <c r="AN201" s="9" t="s">
        <v>26</v>
      </c>
      <c r="AO201" s="22">
        <v>0.36033999999999999</v>
      </c>
      <c r="AP201" s="22">
        <v>2.10711</v>
      </c>
      <c r="AQ201" s="25">
        <v>0.27304</v>
      </c>
      <c r="AR201" s="9"/>
      <c r="AS201" s="9" t="s">
        <v>26</v>
      </c>
      <c r="AT201" s="22">
        <v>0.48737999999999998</v>
      </c>
      <c r="AU201" s="22">
        <v>2.2573500000000002</v>
      </c>
      <c r="AV201" s="13"/>
      <c r="AW201" s="9"/>
      <c r="AX201" s="9" t="s">
        <v>26</v>
      </c>
      <c r="AY201" s="9"/>
      <c r="AZ201" s="22">
        <v>18.109500000000001</v>
      </c>
      <c r="BA201" s="25">
        <v>1.2218</v>
      </c>
      <c r="BB201" s="9"/>
      <c r="BC201" s="9" t="s">
        <v>26</v>
      </c>
      <c r="BD201" s="22">
        <v>0.12903999999999999</v>
      </c>
      <c r="BE201" s="22">
        <v>0.71032799999999996</v>
      </c>
      <c r="BF201" s="13"/>
      <c r="BG201" s="9"/>
      <c r="BH201" s="9" t="s">
        <v>26</v>
      </c>
      <c r="BI201" s="9"/>
      <c r="BJ201" s="23">
        <v>12.024800000000001</v>
      </c>
    </row>
    <row r="202" spans="1:62" ht="15" thickBot="1" x14ac:dyDescent="0.4">
      <c r="A202" s="13" t="s">
        <v>161</v>
      </c>
      <c r="B202" s="13"/>
      <c r="C202" s="13" t="s">
        <v>42</v>
      </c>
      <c r="D202" s="13" t="s">
        <v>76</v>
      </c>
      <c r="E202" s="13">
        <v>6.1915999999999999E-2</v>
      </c>
      <c r="F202" s="21">
        <v>44883</v>
      </c>
      <c r="G202" s="13">
        <v>2.7230208333333334</v>
      </c>
      <c r="H202" s="25">
        <v>109.02</v>
      </c>
      <c r="I202" s="9"/>
      <c r="J202" s="9" t="s">
        <v>26</v>
      </c>
      <c r="K202" s="22">
        <v>7.1580000000000004</v>
      </c>
      <c r="L202" s="22">
        <v>7.6546200000000004</v>
      </c>
      <c r="M202" s="25">
        <v>22.978000000000002</v>
      </c>
      <c r="N202" s="9"/>
      <c r="O202" s="9" t="s">
        <v>26</v>
      </c>
      <c r="P202" s="22">
        <v>3.5731000000000002</v>
      </c>
      <c r="Q202" s="22">
        <v>8.2251600000000007</v>
      </c>
      <c r="R202" s="13"/>
      <c r="S202" s="9"/>
      <c r="T202" s="9" t="s">
        <v>26</v>
      </c>
      <c r="U202" s="9"/>
      <c r="V202" s="22">
        <v>0.43250300000000003</v>
      </c>
      <c r="W202" s="25">
        <v>2.1097999999999999</v>
      </c>
      <c r="X202" s="9"/>
      <c r="Y202" s="9" t="s">
        <v>26</v>
      </c>
      <c r="Z202" s="22">
        <v>1.163</v>
      </c>
      <c r="AA202" s="22">
        <v>1.2588200000000001</v>
      </c>
      <c r="AB202" s="25">
        <v>2.7176</v>
      </c>
      <c r="AC202" s="9"/>
      <c r="AD202" s="9" t="s">
        <v>26</v>
      </c>
      <c r="AE202" s="22">
        <v>0.14085</v>
      </c>
      <c r="AF202" s="22">
        <v>0.498029</v>
      </c>
      <c r="AG202" s="13"/>
      <c r="AH202" s="9"/>
      <c r="AI202" s="9" t="s">
        <v>26</v>
      </c>
      <c r="AJ202" s="9"/>
      <c r="AK202" s="22">
        <v>5.9254499999999997</v>
      </c>
      <c r="AL202" s="25">
        <v>2.5543</v>
      </c>
      <c r="AM202" s="9"/>
      <c r="AN202" s="9" t="s">
        <v>26</v>
      </c>
      <c r="AO202" s="22">
        <v>0.70116999999999996</v>
      </c>
      <c r="AP202" s="22">
        <v>1.5364599999999999</v>
      </c>
      <c r="AQ202" s="25">
        <v>1.2532000000000001</v>
      </c>
      <c r="AR202" s="9"/>
      <c r="AS202" s="9" t="s">
        <v>26</v>
      </c>
      <c r="AT202" s="22">
        <v>0.76914000000000005</v>
      </c>
      <c r="AU202" s="22">
        <v>1.9114199999999999</v>
      </c>
      <c r="AV202" s="25">
        <v>14.451000000000001</v>
      </c>
      <c r="AW202" s="9"/>
      <c r="AX202" s="9" t="s">
        <v>26</v>
      </c>
      <c r="AY202" s="22">
        <v>5.9130000000000003</v>
      </c>
      <c r="AZ202" s="22">
        <v>10.812799999999999</v>
      </c>
      <c r="BA202" s="25">
        <v>1.2098</v>
      </c>
      <c r="BB202" s="9"/>
      <c r="BC202" s="9" t="s">
        <v>26</v>
      </c>
      <c r="BD202" s="22">
        <v>0.29388999999999998</v>
      </c>
      <c r="BE202" s="22">
        <v>0.55994100000000002</v>
      </c>
      <c r="BF202" s="25">
        <v>9.2370999999999999</v>
      </c>
      <c r="BG202" s="9"/>
      <c r="BH202" s="9" t="s">
        <v>26</v>
      </c>
      <c r="BI202" s="22">
        <v>0.96192</v>
      </c>
      <c r="BJ202" s="23">
        <v>7.0799899999999996</v>
      </c>
    </row>
    <row r="203" spans="1:62" ht="15" thickBot="1" x14ac:dyDescent="0.4">
      <c r="A203" s="13" t="s">
        <v>171</v>
      </c>
      <c r="B203" s="13"/>
      <c r="C203" s="13" t="s">
        <v>42</v>
      </c>
      <c r="D203" s="13" t="s">
        <v>76</v>
      </c>
      <c r="E203" s="13">
        <v>6.3987000000000002E-2</v>
      </c>
      <c r="F203" s="21">
        <v>44886</v>
      </c>
      <c r="G203" s="13">
        <v>1.0336342592592593</v>
      </c>
      <c r="H203" s="25">
        <v>72.781000000000006</v>
      </c>
      <c r="I203" s="9"/>
      <c r="J203" s="9" t="s">
        <v>26</v>
      </c>
      <c r="K203" s="22">
        <v>7.9934000000000003</v>
      </c>
      <c r="L203" s="22">
        <v>8.6617099999999994</v>
      </c>
      <c r="M203" s="25">
        <v>24.800999999999998</v>
      </c>
      <c r="N203" s="9"/>
      <c r="O203" s="9" t="s">
        <v>26</v>
      </c>
      <c r="P203" s="22">
        <v>1.8351</v>
      </c>
      <c r="Q203" s="22">
        <v>6.9246299999999996</v>
      </c>
      <c r="R203" s="13"/>
      <c r="S203" s="9"/>
      <c r="T203" s="9" t="s">
        <v>26</v>
      </c>
      <c r="U203" s="9"/>
      <c r="V203" s="22">
        <v>0.69130499999999995</v>
      </c>
      <c r="W203" s="25">
        <v>2.2012</v>
      </c>
      <c r="X203" s="9"/>
      <c r="Y203" s="9" t="s">
        <v>26</v>
      </c>
      <c r="Z203" s="22">
        <v>0.31468000000000002</v>
      </c>
      <c r="AA203" s="22">
        <v>1.6726000000000001</v>
      </c>
      <c r="AB203" s="25">
        <v>3.0280999999999998</v>
      </c>
      <c r="AC203" s="9"/>
      <c r="AD203" s="9" t="s">
        <v>26</v>
      </c>
      <c r="AE203" s="22">
        <v>0.66734000000000004</v>
      </c>
      <c r="AF203" s="22">
        <v>0.72215099999999999</v>
      </c>
      <c r="AG203" s="13"/>
      <c r="AH203" s="9"/>
      <c r="AI203" s="9" t="s">
        <v>26</v>
      </c>
      <c r="AJ203" s="9"/>
      <c r="AK203" s="22">
        <v>8.9150899999999993</v>
      </c>
      <c r="AL203" s="25">
        <v>0.98175000000000001</v>
      </c>
      <c r="AM203" s="9"/>
      <c r="AN203" s="9" t="s">
        <v>26</v>
      </c>
      <c r="AO203" s="22">
        <v>1.1606000000000001</v>
      </c>
      <c r="AP203" s="22">
        <v>2.0325600000000001</v>
      </c>
      <c r="AQ203" s="25">
        <v>3.5222000000000003E-2</v>
      </c>
      <c r="AR203" s="9"/>
      <c r="AS203" s="9" t="s">
        <v>26</v>
      </c>
      <c r="AT203" s="22">
        <v>0.99731000000000003</v>
      </c>
      <c r="AU203" s="22">
        <v>2.2136200000000001</v>
      </c>
      <c r="AV203" s="25">
        <v>16.738</v>
      </c>
      <c r="AW203" s="9"/>
      <c r="AX203" s="9" t="s">
        <v>26</v>
      </c>
      <c r="AY203" s="22">
        <v>10.504</v>
      </c>
      <c r="AZ203" s="22">
        <v>17.502199999999998</v>
      </c>
      <c r="BA203" s="25">
        <v>1.0295000000000001</v>
      </c>
      <c r="BB203" s="9"/>
      <c r="BC203" s="9" t="s">
        <v>26</v>
      </c>
      <c r="BD203" s="22">
        <v>0.86424999999999996</v>
      </c>
      <c r="BE203" s="22">
        <v>0.68931299999999995</v>
      </c>
      <c r="BF203" s="25">
        <v>12.016</v>
      </c>
      <c r="BG203" s="9"/>
      <c r="BH203" s="9" t="s">
        <v>26</v>
      </c>
      <c r="BI203" s="22">
        <v>1.5359</v>
      </c>
      <c r="BJ203" s="23">
        <v>9.2336600000000004</v>
      </c>
    </row>
    <row r="204" spans="1:62" ht="15" thickBot="1" x14ac:dyDescent="0.4">
      <c r="A204" s="13" t="s">
        <v>172</v>
      </c>
      <c r="B204" s="13"/>
      <c r="C204" s="13" t="s">
        <v>42</v>
      </c>
      <c r="D204" s="13" t="s">
        <v>76</v>
      </c>
      <c r="E204" s="13">
        <v>6.0478999999999998E-2</v>
      </c>
      <c r="F204" s="21">
        <v>44887</v>
      </c>
      <c r="G204" s="13">
        <v>0.9758796296296296</v>
      </c>
      <c r="H204" s="25">
        <v>23.913</v>
      </c>
      <c r="I204" s="9"/>
      <c r="J204" s="9" t="s">
        <v>26</v>
      </c>
      <c r="K204" s="22">
        <v>2.3086000000000002</v>
      </c>
      <c r="L204" s="22">
        <v>9.4057300000000001</v>
      </c>
      <c r="M204" s="25">
        <v>66.106999999999999</v>
      </c>
      <c r="N204" s="9"/>
      <c r="O204" s="9" t="s">
        <v>26</v>
      </c>
      <c r="P204" s="22">
        <v>2.5865999999999998</v>
      </c>
      <c r="Q204" s="22">
        <v>13.264099999999999</v>
      </c>
      <c r="R204" s="13"/>
      <c r="S204" s="9"/>
      <c r="T204" s="9" t="s">
        <v>26</v>
      </c>
      <c r="U204" s="9"/>
      <c r="V204" s="22">
        <v>0.72153</v>
      </c>
      <c r="W204" s="13"/>
      <c r="X204" s="9"/>
      <c r="Y204" s="9" t="s">
        <v>26</v>
      </c>
      <c r="Z204" s="9"/>
      <c r="AA204" s="22">
        <v>2.6685300000000001</v>
      </c>
      <c r="AB204" s="25">
        <v>1.9187000000000001</v>
      </c>
      <c r="AC204" s="9"/>
      <c r="AD204" s="9" t="s">
        <v>26</v>
      </c>
      <c r="AE204" s="22">
        <v>0.17756</v>
      </c>
      <c r="AF204" s="22">
        <v>0.77370499999999998</v>
      </c>
      <c r="AG204" s="13"/>
      <c r="AH204" s="9"/>
      <c r="AI204" s="9" t="s">
        <v>26</v>
      </c>
      <c r="AJ204" s="9"/>
      <c r="AK204" s="22">
        <v>9.7598500000000001</v>
      </c>
      <c r="AL204" s="25">
        <v>1.1949000000000001</v>
      </c>
      <c r="AM204" s="9"/>
      <c r="AN204" s="9" t="s">
        <v>26</v>
      </c>
      <c r="AO204" s="22">
        <v>0.34567999999999999</v>
      </c>
      <c r="AP204" s="22">
        <v>2.1697899999999999</v>
      </c>
      <c r="AQ204" s="25">
        <v>1.2141</v>
      </c>
      <c r="AR204" s="9"/>
      <c r="AS204" s="9" t="s">
        <v>26</v>
      </c>
      <c r="AT204" s="22">
        <v>0.50644999999999996</v>
      </c>
      <c r="AU204" s="22">
        <v>2.2557100000000001</v>
      </c>
      <c r="AV204" s="25">
        <v>17.934999999999999</v>
      </c>
      <c r="AW204" s="9"/>
      <c r="AX204" s="9" t="s">
        <v>26</v>
      </c>
      <c r="AY204" s="22">
        <v>9.7881999999999998</v>
      </c>
      <c r="AZ204" s="22">
        <v>15.4732</v>
      </c>
      <c r="BA204" s="25">
        <v>1.1129</v>
      </c>
      <c r="BB204" s="9"/>
      <c r="BC204" s="9" t="s">
        <v>26</v>
      </c>
      <c r="BD204" s="22">
        <v>0.46418999999999999</v>
      </c>
      <c r="BE204" s="22">
        <v>0.86263900000000004</v>
      </c>
      <c r="BF204" s="13"/>
      <c r="BG204" s="9"/>
      <c r="BH204" s="9" t="s">
        <v>26</v>
      </c>
      <c r="BI204" s="9"/>
      <c r="BJ204" s="23">
        <v>12.038399999999999</v>
      </c>
    </row>
    <row r="205" spans="1:62" ht="15" thickBot="1" x14ac:dyDescent="0.4">
      <c r="A205" s="13" t="s">
        <v>173</v>
      </c>
      <c r="B205" s="13"/>
      <c r="C205" s="13" t="s">
        <v>42</v>
      </c>
      <c r="D205" s="13" t="s">
        <v>76</v>
      </c>
      <c r="E205" s="13">
        <v>6.1913999999999997E-2</v>
      </c>
      <c r="F205" s="21">
        <v>44889</v>
      </c>
      <c r="G205" s="13">
        <v>1.025138888888889</v>
      </c>
      <c r="H205" s="26">
        <v>24.87</v>
      </c>
      <c r="I205" s="10"/>
      <c r="J205" s="10" t="s">
        <v>26</v>
      </c>
      <c r="K205" s="18">
        <v>2.294</v>
      </c>
      <c r="L205" s="18">
        <v>7.9745400000000002</v>
      </c>
      <c r="M205" s="26">
        <v>51.698</v>
      </c>
      <c r="N205" s="10"/>
      <c r="O205" s="10" t="s">
        <v>26</v>
      </c>
      <c r="P205" s="18">
        <v>2.2688999999999999</v>
      </c>
      <c r="Q205" s="18">
        <v>11.5817</v>
      </c>
      <c r="R205" s="11"/>
      <c r="S205" s="10"/>
      <c r="T205" s="10" t="s">
        <v>26</v>
      </c>
      <c r="U205" s="10"/>
      <c r="V205" s="18">
        <v>0.67465799999999998</v>
      </c>
      <c r="W205" s="11"/>
      <c r="X205" s="10"/>
      <c r="Y205" s="10" t="s">
        <v>26</v>
      </c>
      <c r="Z205" s="10"/>
      <c r="AA205" s="18">
        <v>2.4673699999999998</v>
      </c>
      <c r="AB205" s="26">
        <v>1.5940000000000001</v>
      </c>
      <c r="AC205" s="10"/>
      <c r="AD205" s="10" t="s">
        <v>26</v>
      </c>
      <c r="AE205" s="18">
        <v>0.16546</v>
      </c>
      <c r="AF205" s="18">
        <v>0.69784800000000002</v>
      </c>
      <c r="AG205" s="11"/>
      <c r="AH205" s="10"/>
      <c r="AI205" s="10" t="s">
        <v>26</v>
      </c>
      <c r="AJ205" s="10"/>
      <c r="AK205" s="18">
        <v>8.6993200000000002</v>
      </c>
      <c r="AL205" s="26">
        <v>0.27916999999999997</v>
      </c>
      <c r="AM205" s="10"/>
      <c r="AN205" s="10" t="s">
        <v>26</v>
      </c>
      <c r="AO205" s="18">
        <v>1.0233000000000001</v>
      </c>
      <c r="AP205" s="18">
        <v>2.1095999999999999</v>
      </c>
      <c r="AQ205" s="26">
        <v>0.51749000000000001</v>
      </c>
      <c r="AR205" s="10"/>
      <c r="AS205" s="10" t="s">
        <v>26</v>
      </c>
      <c r="AT205" s="18">
        <v>0.92015999999999998</v>
      </c>
      <c r="AU205" s="18">
        <v>2.19394</v>
      </c>
      <c r="AV205" s="11"/>
      <c r="AW205" s="10"/>
      <c r="AX205" s="10" t="s">
        <v>26</v>
      </c>
      <c r="AY205" s="10"/>
      <c r="AZ205" s="18">
        <v>17.763000000000002</v>
      </c>
      <c r="BA205" s="26">
        <v>0.72228000000000003</v>
      </c>
      <c r="BB205" s="10"/>
      <c r="BC205" s="10" t="s">
        <v>26</v>
      </c>
      <c r="BD205" s="18">
        <v>0.1081</v>
      </c>
      <c r="BE205" s="18">
        <v>0.63747200000000004</v>
      </c>
      <c r="BF205" s="11"/>
      <c r="BG205" s="10"/>
      <c r="BH205" s="10" t="s">
        <v>26</v>
      </c>
      <c r="BI205" s="10"/>
      <c r="BJ205" s="19">
        <v>11.6104</v>
      </c>
    </row>
    <row r="206" spans="1:62" ht="15" thickBot="1" x14ac:dyDescent="0.4">
      <c r="A206" s="10" t="s">
        <v>174</v>
      </c>
      <c r="B206" s="10"/>
      <c r="C206" s="11" t="s">
        <v>42</v>
      </c>
      <c r="D206" s="11" t="s">
        <v>76</v>
      </c>
      <c r="E206" s="11">
        <v>5.6959000000000003E-2</v>
      </c>
      <c r="F206" s="20">
        <v>44890</v>
      </c>
      <c r="G206" s="11">
        <v>2.7359606481481484</v>
      </c>
      <c r="H206" s="28">
        <v>30.356999999999999</v>
      </c>
      <c r="I206" s="15"/>
      <c r="J206" s="15" t="s">
        <v>26</v>
      </c>
      <c r="K206" s="16">
        <v>4.1337999999999999</v>
      </c>
      <c r="L206" s="16">
        <v>7.54129</v>
      </c>
      <c r="M206" s="28">
        <v>56.323</v>
      </c>
      <c r="N206" s="15"/>
      <c r="O206" s="15" t="s">
        <v>26</v>
      </c>
      <c r="P206" s="16">
        <v>1.7222</v>
      </c>
      <c r="Q206" s="16">
        <v>8.96645</v>
      </c>
      <c r="R206" s="14"/>
      <c r="S206" s="15"/>
      <c r="T206" s="15" t="s">
        <v>26</v>
      </c>
      <c r="U206" s="15"/>
      <c r="V206" s="16">
        <v>0.45645599999999997</v>
      </c>
      <c r="W206" s="14"/>
      <c r="X206" s="15"/>
      <c r="Y206" s="15" t="s">
        <v>26</v>
      </c>
      <c r="Z206" s="15"/>
      <c r="AA206" s="16">
        <v>1.65968</v>
      </c>
      <c r="AB206" s="28">
        <v>2.8481000000000001</v>
      </c>
      <c r="AC206" s="15"/>
      <c r="AD206" s="15" t="s">
        <v>26</v>
      </c>
      <c r="AE206" s="16">
        <v>0.41643000000000002</v>
      </c>
      <c r="AF206" s="16">
        <v>0.52344800000000002</v>
      </c>
      <c r="AG206" s="14"/>
      <c r="AH206" s="15"/>
      <c r="AI206" s="15" t="s">
        <v>26</v>
      </c>
      <c r="AJ206" s="15"/>
      <c r="AK206" s="16">
        <v>5.9832200000000002</v>
      </c>
      <c r="AL206" s="28">
        <v>1.6596</v>
      </c>
      <c r="AM206" s="15"/>
      <c r="AN206" s="15" t="s">
        <v>26</v>
      </c>
      <c r="AO206" s="16">
        <v>0.82155999999999996</v>
      </c>
      <c r="AP206" s="16">
        <v>1.71485</v>
      </c>
      <c r="AQ206" s="28">
        <v>0.33772000000000002</v>
      </c>
      <c r="AR206" s="15"/>
      <c r="AS206" s="15" t="s">
        <v>26</v>
      </c>
      <c r="AT206" s="16">
        <v>0.73909000000000002</v>
      </c>
      <c r="AU206" s="16">
        <v>2.1131799999999998</v>
      </c>
      <c r="AV206" s="28">
        <v>14.499000000000001</v>
      </c>
      <c r="AW206" s="15"/>
      <c r="AX206" s="15" t="s">
        <v>26</v>
      </c>
      <c r="AY206" s="16">
        <v>1.6480999999999999</v>
      </c>
      <c r="AZ206" s="16">
        <v>12.615500000000001</v>
      </c>
      <c r="BA206" s="28">
        <v>0.86202999999999996</v>
      </c>
      <c r="BB206" s="15"/>
      <c r="BC206" s="15" t="s">
        <v>26</v>
      </c>
      <c r="BD206" s="16">
        <v>7.8372999999999998E-2</v>
      </c>
      <c r="BE206" s="16">
        <v>0.49974200000000002</v>
      </c>
      <c r="BF206" s="14"/>
      <c r="BG206" s="15"/>
      <c r="BH206" s="15" t="s">
        <v>26</v>
      </c>
      <c r="BI206" s="15"/>
      <c r="BJ206" s="17">
        <v>7.8007299999999997</v>
      </c>
    </row>
    <row r="207" spans="1:62" ht="15" thickBot="1" x14ac:dyDescent="0.4"/>
    <row r="208" spans="1:62" ht="15" thickBot="1" x14ac:dyDescent="0.4">
      <c r="G208" s="13" t="s">
        <v>18</v>
      </c>
      <c r="H208" s="9" t="s">
        <v>24</v>
      </c>
      <c r="I208" s="9"/>
      <c r="J208" s="9"/>
      <c r="K208" s="9"/>
      <c r="L208" s="13" t="s">
        <v>1</v>
      </c>
      <c r="M208" s="9" t="s">
        <v>23</v>
      </c>
      <c r="N208" s="9"/>
      <c r="O208" s="9"/>
      <c r="P208" s="9"/>
      <c r="Q208" s="13" t="s">
        <v>2</v>
      </c>
      <c r="R208" s="9" t="s">
        <v>41</v>
      </c>
      <c r="S208" s="9"/>
      <c r="T208" s="9"/>
      <c r="U208" s="9"/>
      <c r="V208" s="13" t="s">
        <v>7</v>
      </c>
      <c r="W208" s="9" t="s">
        <v>50</v>
      </c>
      <c r="X208" s="9"/>
      <c r="Y208" s="9"/>
      <c r="Z208" s="9"/>
      <c r="AA208" s="13" t="s">
        <v>16</v>
      </c>
      <c r="AB208" s="9" t="s">
        <v>51</v>
      </c>
      <c r="AC208" s="9"/>
      <c r="AD208" s="9"/>
      <c r="AE208" s="9"/>
      <c r="AF208" s="13" t="s">
        <v>17</v>
      </c>
      <c r="AG208" s="9" t="s">
        <v>52</v>
      </c>
      <c r="AH208" s="9"/>
      <c r="AI208" s="9"/>
      <c r="AJ208" s="9"/>
      <c r="AK208" s="13" t="s">
        <v>19</v>
      </c>
      <c r="AL208" s="9" t="s">
        <v>53</v>
      </c>
      <c r="AM208" s="9"/>
      <c r="AN208" s="9"/>
      <c r="AO208" s="9"/>
      <c r="AP208" s="13" t="s">
        <v>21</v>
      </c>
      <c r="AQ208" s="9" t="s">
        <v>54</v>
      </c>
      <c r="AR208" s="9"/>
      <c r="AS208" s="9"/>
      <c r="AT208" s="9"/>
      <c r="AU208" s="13" t="s">
        <v>56</v>
      </c>
      <c r="AV208" s="9" t="s">
        <v>57</v>
      </c>
      <c r="AW208" s="9"/>
      <c r="AX208" s="9"/>
      <c r="AY208" s="9"/>
      <c r="AZ208" s="13" t="s">
        <v>60</v>
      </c>
      <c r="BA208" s="9" t="s">
        <v>61</v>
      </c>
      <c r="BB208" s="9"/>
      <c r="BC208" s="9"/>
      <c r="BD208" s="9"/>
      <c r="BE208" s="13" t="s">
        <v>62</v>
      </c>
      <c r="BF208" s="9" t="s">
        <v>63</v>
      </c>
      <c r="BG208" s="9"/>
      <c r="BH208" s="9"/>
      <c r="BI208" s="12"/>
    </row>
    <row r="209" spans="1:62" ht="15" thickBot="1" x14ac:dyDescent="0.4">
      <c r="A209" s="13" t="s">
        <v>30</v>
      </c>
      <c r="B209" s="13" t="s">
        <v>29</v>
      </c>
      <c r="C209" s="13" t="s">
        <v>31</v>
      </c>
      <c r="D209" s="13" t="s">
        <v>27</v>
      </c>
      <c r="E209" s="13" t="s">
        <v>25</v>
      </c>
      <c r="F209" s="13" t="s">
        <v>28</v>
      </c>
      <c r="G209" s="13" t="s">
        <v>33</v>
      </c>
      <c r="H209" s="9" t="s">
        <v>34</v>
      </c>
      <c r="I209" s="9"/>
      <c r="J209" s="9" t="s">
        <v>35</v>
      </c>
      <c r="K209" s="9" t="s">
        <v>36</v>
      </c>
      <c r="L209" s="13" t="s">
        <v>33</v>
      </c>
      <c r="M209" s="9" t="s">
        <v>34</v>
      </c>
      <c r="N209" s="9"/>
      <c r="O209" s="9" t="s">
        <v>35</v>
      </c>
      <c r="P209" s="9" t="s">
        <v>36</v>
      </c>
      <c r="Q209" s="13" t="s">
        <v>33</v>
      </c>
      <c r="R209" s="9" t="s">
        <v>34</v>
      </c>
      <c r="S209" s="9"/>
      <c r="T209" s="9" t="s">
        <v>35</v>
      </c>
      <c r="U209" s="9" t="s">
        <v>36</v>
      </c>
      <c r="V209" s="13" t="s">
        <v>33</v>
      </c>
      <c r="W209" s="9" t="s">
        <v>34</v>
      </c>
      <c r="X209" s="9"/>
      <c r="Y209" s="9" t="s">
        <v>35</v>
      </c>
      <c r="Z209" s="9" t="s">
        <v>36</v>
      </c>
      <c r="AA209" s="13" t="s">
        <v>33</v>
      </c>
      <c r="AB209" s="9" t="s">
        <v>34</v>
      </c>
      <c r="AC209" s="9"/>
      <c r="AD209" s="9" t="s">
        <v>35</v>
      </c>
      <c r="AE209" s="9" t="s">
        <v>36</v>
      </c>
      <c r="AF209" s="13" t="s">
        <v>33</v>
      </c>
      <c r="AG209" s="9" t="s">
        <v>34</v>
      </c>
      <c r="AH209" s="9"/>
      <c r="AI209" s="9" t="s">
        <v>35</v>
      </c>
      <c r="AJ209" s="9" t="s">
        <v>36</v>
      </c>
      <c r="AK209" s="13" t="s">
        <v>33</v>
      </c>
      <c r="AL209" s="9" t="s">
        <v>34</v>
      </c>
      <c r="AM209" s="9"/>
      <c r="AN209" s="9" t="s">
        <v>35</v>
      </c>
      <c r="AO209" s="9" t="s">
        <v>36</v>
      </c>
      <c r="AP209" s="13" t="s">
        <v>33</v>
      </c>
      <c r="AQ209" s="9" t="s">
        <v>34</v>
      </c>
      <c r="AR209" s="9"/>
      <c r="AS209" s="9" t="s">
        <v>35</v>
      </c>
      <c r="AT209" s="9" t="s">
        <v>36</v>
      </c>
      <c r="AU209" s="13" t="s">
        <v>33</v>
      </c>
      <c r="AV209" s="9" t="s">
        <v>34</v>
      </c>
      <c r="AW209" s="9"/>
      <c r="AX209" s="9" t="s">
        <v>35</v>
      </c>
      <c r="AY209" s="9" t="s">
        <v>36</v>
      </c>
      <c r="AZ209" s="13" t="s">
        <v>33</v>
      </c>
      <c r="BA209" s="9" t="s">
        <v>34</v>
      </c>
      <c r="BB209" s="9"/>
      <c r="BC209" s="9" t="s">
        <v>35</v>
      </c>
      <c r="BD209" s="9" t="s">
        <v>36</v>
      </c>
      <c r="BE209" s="13" t="s">
        <v>33</v>
      </c>
      <c r="BF209" s="9" t="s">
        <v>34</v>
      </c>
      <c r="BG209" s="9"/>
      <c r="BH209" s="9" t="s">
        <v>35</v>
      </c>
      <c r="BI209" s="12" t="s">
        <v>36</v>
      </c>
    </row>
    <row r="210" spans="1:62" ht="15" thickBot="1" x14ac:dyDescent="0.4">
      <c r="A210" s="13" t="s">
        <v>162</v>
      </c>
      <c r="B210" s="13" t="s">
        <v>58</v>
      </c>
      <c r="C210" s="13" t="s">
        <v>65</v>
      </c>
      <c r="D210" s="13">
        <v>5.6916000000000001E-2</v>
      </c>
      <c r="E210" s="21">
        <v>44874</v>
      </c>
      <c r="F210" s="13">
        <v>1.0603472222222223</v>
      </c>
      <c r="G210" s="25">
        <v>29.518000000000001</v>
      </c>
      <c r="H210" s="9"/>
      <c r="I210" s="9" t="s">
        <v>26</v>
      </c>
      <c r="J210" s="22">
        <v>9.2095000000000002</v>
      </c>
      <c r="K210" s="22">
        <v>9.3963300000000007</v>
      </c>
      <c r="L210" s="25">
        <v>67.605000000000004</v>
      </c>
      <c r="M210" s="9"/>
      <c r="N210" s="9" t="s">
        <v>26</v>
      </c>
      <c r="O210" s="22">
        <v>16.268000000000001</v>
      </c>
      <c r="P210" s="22">
        <v>23.535599999999999</v>
      </c>
      <c r="Q210" s="13"/>
      <c r="R210" s="9"/>
      <c r="S210" s="9" t="s">
        <v>26</v>
      </c>
      <c r="T210" s="9"/>
      <c r="U210" s="22">
        <v>1.29959</v>
      </c>
      <c r="V210" s="13"/>
      <c r="W210" s="9"/>
      <c r="X210" s="9" t="s">
        <v>26</v>
      </c>
      <c r="Y210" s="9"/>
      <c r="Z210" s="22">
        <v>4.6828900000000004</v>
      </c>
      <c r="AA210" s="25">
        <v>1.7529999999999999</v>
      </c>
      <c r="AB210" s="9"/>
      <c r="AC210" s="9" t="s">
        <v>26</v>
      </c>
      <c r="AD210" s="22">
        <v>2.5792000000000002</v>
      </c>
      <c r="AE210" s="22">
        <v>1.2677400000000001</v>
      </c>
      <c r="AF210" s="25">
        <v>2.8683999999999998</v>
      </c>
      <c r="AG210" s="9"/>
      <c r="AH210" s="9" t="s">
        <v>26</v>
      </c>
      <c r="AI210" s="22">
        <v>1.5411999999999999</v>
      </c>
      <c r="AJ210" s="22">
        <v>7.8208599999999997</v>
      </c>
      <c r="AK210" s="25">
        <v>2.8268</v>
      </c>
      <c r="AL210" s="9"/>
      <c r="AM210" s="9" t="s">
        <v>26</v>
      </c>
      <c r="AN210" s="22">
        <v>2.6566999999999998</v>
      </c>
      <c r="AO210" s="22">
        <v>2.4740199999999999</v>
      </c>
      <c r="AP210" s="25">
        <v>2.5421</v>
      </c>
      <c r="AQ210" s="9"/>
      <c r="AR210" s="9" t="s">
        <v>26</v>
      </c>
      <c r="AS210" s="22">
        <v>1.3944000000000001</v>
      </c>
      <c r="AT210" s="22">
        <v>2.2487300000000001</v>
      </c>
      <c r="AU210" s="25">
        <v>4.5970000000000004</v>
      </c>
      <c r="AV210" s="9"/>
      <c r="AW210" s="9" t="s">
        <v>26</v>
      </c>
      <c r="AX210" s="22">
        <v>3.5476000000000001</v>
      </c>
      <c r="AY210" s="22">
        <v>14.974399999999999</v>
      </c>
      <c r="AZ210" s="25">
        <v>0.93638999999999994</v>
      </c>
      <c r="BA210" s="9"/>
      <c r="BB210" s="9" t="s">
        <v>26</v>
      </c>
      <c r="BC210" s="22">
        <v>0.20527999999999999</v>
      </c>
      <c r="BD210" s="22">
        <v>0.91010800000000003</v>
      </c>
      <c r="BE210" s="25">
        <v>16.074999999999999</v>
      </c>
      <c r="BF210" s="9"/>
      <c r="BG210" s="9" t="s">
        <v>26</v>
      </c>
      <c r="BH210" s="22">
        <v>8.0538000000000007</v>
      </c>
      <c r="BI210" s="23">
        <v>14.8345</v>
      </c>
    </row>
    <row r="211" spans="1:62" ht="15" thickBot="1" x14ac:dyDescent="0.4">
      <c r="A211" s="13" t="s">
        <v>163</v>
      </c>
      <c r="B211" s="13" t="s">
        <v>58</v>
      </c>
      <c r="C211" s="13" t="s">
        <v>65</v>
      </c>
      <c r="D211" s="13">
        <v>6.3784999999999994E-2</v>
      </c>
      <c r="E211" s="21">
        <v>44875</v>
      </c>
      <c r="F211" s="13">
        <v>1.0928587962962963</v>
      </c>
      <c r="G211" s="25">
        <v>83.457999999999998</v>
      </c>
      <c r="H211" s="9"/>
      <c r="I211" s="9" t="s">
        <v>26</v>
      </c>
      <c r="J211" s="22">
        <v>5.5918999999999999</v>
      </c>
      <c r="K211" s="22">
        <v>8.6669099999999997</v>
      </c>
      <c r="L211" s="25">
        <v>26.067</v>
      </c>
      <c r="M211" s="9"/>
      <c r="N211" s="9" t="s">
        <v>26</v>
      </c>
      <c r="O211" s="22">
        <v>3.952</v>
      </c>
      <c r="P211" s="22">
        <v>37.232399999999998</v>
      </c>
      <c r="Q211" s="13"/>
      <c r="R211" s="9"/>
      <c r="S211" s="9" t="s">
        <v>26</v>
      </c>
      <c r="T211" s="9"/>
      <c r="U211" s="22">
        <v>1.1251500000000001</v>
      </c>
      <c r="V211" s="25">
        <v>3.1779000000000002</v>
      </c>
      <c r="W211" s="9"/>
      <c r="X211" s="9" t="s">
        <v>26</v>
      </c>
      <c r="Y211" s="22">
        <v>2.9079999999999999</v>
      </c>
      <c r="Z211" s="22">
        <v>2.7582399999999998</v>
      </c>
      <c r="AA211" s="25">
        <v>2.6726999999999999</v>
      </c>
      <c r="AB211" s="9"/>
      <c r="AC211" s="9" t="s">
        <v>26</v>
      </c>
      <c r="AD211" s="22">
        <v>0.55961000000000005</v>
      </c>
      <c r="AE211" s="22">
        <v>1.0298499999999999</v>
      </c>
      <c r="AF211" s="13"/>
      <c r="AG211" s="9"/>
      <c r="AH211" s="9" t="s">
        <v>26</v>
      </c>
      <c r="AI211" s="9"/>
      <c r="AJ211" s="22">
        <v>14.005699999999999</v>
      </c>
      <c r="AK211" s="25">
        <v>2.8797999999999999</v>
      </c>
      <c r="AL211" s="9"/>
      <c r="AM211" s="9" t="s">
        <v>26</v>
      </c>
      <c r="AN211" s="22">
        <v>1.6875</v>
      </c>
      <c r="AO211" s="22">
        <v>2.2845499999999999</v>
      </c>
      <c r="AP211" s="25">
        <v>1.6267</v>
      </c>
      <c r="AQ211" s="9"/>
      <c r="AR211" s="9" t="s">
        <v>26</v>
      </c>
      <c r="AS211" s="22">
        <v>0.48219000000000001</v>
      </c>
      <c r="AT211" s="22">
        <v>1.96536</v>
      </c>
      <c r="AU211" s="25">
        <v>2.9498000000000002</v>
      </c>
      <c r="AV211" s="9"/>
      <c r="AW211" s="9" t="s">
        <v>26</v>
      </c>
      <c r="AX211" s="22">
        <v>4.4724000000000004</v>
      </c>
      <c r="AY211" s="22">
        <v>13.785399999999999</v>
      </c>
      <c r="AZ211" s="25">
        <v>1.2943</v>
      </c>
      <c r="BA211" s="9"/>
      <c r="BB211" s="9" t="s">
        <v>26</v>
      </c>
      <c r="BC211" s="22">
        <v>0.19836000000000001</v>
      </c>
      <c r="BD211" s="22">
        <v>0.85557899999999998</v>
      </c>
      <c r="BE211" s="25">
        <v>4.6322999999999999</v>
      </c>
      <c r="BF211" s="9"/>
      <c r="BG211" s="9" t="s">
        <v>26</v>
      </c>
      <c r="BH211" s="22">
        <v>4.1186999999999996</v>
      </c>
      <c r="BI211" s="23">
        <v>13.6241</v>
      </c>
    </row>
    <row r="212" spans="1:62" ht="15" thickBot="1" x14ac:dyDescent="0.4">
      <c r="A212" s="13" t="s">
        <v>164</v>
      </c>
      <c r="B212" s="13" t="s">
        <v>58</v>
      </c>
      <c r="C212" s="13" t="s">
        <v>65</v>
      </c>
      <c r="D212" s="13">
        <v>6.2106000000000001E-2</v>
      </c>
      <c r="E212" s="21">
        <v>44876</v>
      </c>
      <c r="F212" s="13">
        <v>2.6792476851851852</v>
      </c>
      <c r="G212" s="25">
        <v>77.067999999999998</v>
      </c>
      <c r="H212" s="9"/>
      <c r="I212" s="9" t="s">
        <v>26</v>
      </c>
      <c r="J212" s="22">
        <v>4.5590999999999999</v>
      </c>
      <c r="K212" s="22">
        <v>6.8633199999999999</v>
      </c>
      <c r="L212" s="25">
        <v>23.713999999999999</v>
      </c>
      <c r="M212" s="9"/>
      <c r="N212" s="9" t="s">
        <v>26</v>
      </c>
      <c r="O212" s="22">
        <v>7.4942000000000002</v>
      </c>
      <c r="P212" s="22">
        <v>12.1289</v>
      </c>
      <c r="Q212" s="13"/>
      <c r="R212" s="9"/>
      <c r="S212" s="9" t="s">
        <v>26</v>
      </c>
      <c r="T212" s="9"/>
      <c r="U212" s="22">
        <v>0.74257399999999996</v>
      </c>
      <c r="V212" s="25">
        <v>2.0705</v>
      </c>
      <c r="W212" s="9"/>
      <c r="X212" s="9" t="s">
        <v>26</v>
      </c>
      <c r="Y212" s="22">
        <v>0.41056999999999999</v>
      </c>
      <c r="Z212" s="22">
        <v>2.06901</v>
      </c>
      <c r="AA212" s="25">
        <v>2.5903</v>
      </c>
      <c r="AB212" s="9"/>
      <c r="AC212" s="9" t="s">
        <v>26</v>
      </c>
      <c r="AD212" s="22">
        <v>0.18994</v>
      </c>
      <c r="AE212" s="22">
        <v>0.68349899999999997</v>
      </c>
      <c r="AF212" s="13"/>
      <c r="AG212" s="9"/>
      <c r="AH212" s="9" t="s">
        <v>26</v>
      </c>
      <c r="AI212" s="9"/>
      <c r="AJ212" s="22">
        <v>9.5340600000000002</v>
      </c>
      <c r="AK212" s="25">
        <v>3.8975</v>
      </c>
      <c r="AL212" s="9"/>
      <c r="AM212" s="9" t="s">
        <v>26</v>
      </c>
      <c r="AN212" s="22">
        <v>0.40490999999999999</v>
      </c>
      <c r="AO212" s="22">
        <v>1.6501999999999999</v>
      </c>
      <c r="AP212" s="25">
        <v>3.8645999999999998</v>
      </c>
      <c r="AQ212" s="9"/>
      <c r="AR212" s="9" t="s">
        <v>26</v>
      </c>
      <c r="AS212" s="22">
        <v>0.37902000000000002</v>
      </c>
      <c r="AT212" s="22">
        <v>1.47112</v>
      </c>
      <c r="AU212" s="25">
        <v>1.8528</v>
      </c>
      <c r="AV212" s="9"/>
      <c r="AW212" s="9" t="s">
        <v>26</v>
      </c>
      <c r="AX212" s="22">
        <v>3.2989999999999999</v>
      </c>
      <c r="AY212" s="22">
        <v>11.401</v>
      </c>
      <c r="AZ212" s="25">
        <v>0.65478000000000003</v>
      </c>
      <c r="BA212" s="9"/>
      <c r="BB212" s="9" t="s">
        <v>26</v>
      </c>
      <c r="BC212" s="22">
        <v>0.13012000000000001</v>
      </c>
      <c r="BD212" s="22">
        <v>0.66482200000000002</v>
      </c>
      <c r="BE212" s="25">
        <v>8.9316999999999993</v>
      </c>
      <c r="BF212" s="9"/>
      <c r="BG212" s="9" t="s">
        <v>26</v>
      </c>
      <c r="BH212" s="22">
        <v>1.6332</v>
      </c>
      <c r="BI212" s="23">
        <v>8.6789699999999996</v>
      </c>
    </row>
    <row r="213" spans="1:62" ht="15" thickBot="1" x14ac:dyDescent="0.4">
      <c r="A213" s="13" t="s">
        <v>165</v>
      </c>
      <c r="B213" s="13" t="s">
        <v>58</v>
      </c>
      <c r="C213" s="13" t="s">
        <v>65</v>
      </c>
      <c r="D213" s="13">
        <v>5.9729999999999998E-2</v>
      </c>
      <c r="E213" s="21">
        <v>44879</v>
      </c>
      <c r="F213" s="13">
        <v>0.98627314814814815</v>
      </c>
      <c r="G213" s="25">
        <v>70.582999999999998</v>
      </c>
      <c r="H213" s="9"/>
      <c r="I213" s="9" t="s">
        <v>26</v>
      </c>
      <c r="J213" s="22">
        <v>5.1356999999999999</v>
      </c>
      <c r="K213" s="22">
        <v>9.1845999999999997</v>
      </c>
      <c r="L213" s="25">
        <v>33.218000000000004</v>
      </c>
      <c r="M213" s="9"/>
      <c r="N213" s="9" t="s">
        <v>26</v>
      </c>
      <c r="O213" s="22">
        <v>4.5429000000000004</v>
      </c>
      <c r="P213" s="22">
        <v>31.433599999999998</v>
      </c>
      <c r="Q213" s="13"/>
      <c r="R213" s="9"/>
      <c r="S213" s="9" t="s">
        <v>26</v>
      </c>
      <c r="T213" s="9"/>
      <c r="U213" s="22">
        <v>1.2629699999999999</v>
      </c>
      <c r="V213" s="25">
        <v>0.97116000000000002</v>
      </c>
      <c r="W213" s="9"/>
      <c r="X213" s="9" t="s">
        <v>26</v>
      </c>
      <c r="Y213" s="22">
        <v>0.60062000000000004</v>
      </c>
      <c r="Z213" s="22">
        <v>2.6378499999999998</v>
      </c>
      <c r="AA213" s="25">
        <v>3.3273000000000001</v>
      </c>
      <c r="AB213" s="9"/>
      <c r="AC213" s="9" t="s">
        <v>26</v>
      </c>
      <c r="AD213" s="22">
        <v>0.80564000000000002</v>
      </c>
      <c r="AE213" s="22">
        <v>1.1285099999999999</v>
      </c>
      <c r="AF213" s="13"/>
      <c r="AG213" s="9"/>
      <c r="AH213" s="9" t="s">
        <v>26</v>
      </c>
      <c r="AI213" s="9"/>
      <c r="AJ213" s="22">
        <v>15.974399999999999</v>
      </c>
      <c r="AK213" s="25">
        <v>1.4912000000000001</v>
      </c>
      <c r="AL213" s="9"/>
      <c r="AM213" s="9" t="s">
        <v>26</v>
      </c>
      <c r="AN213" s="22">
        <v>1.0547</v>
      </c>
      <c r="AO213" s="22">
        <v>2.5359500000000001</v>
      </c>
      <c r="AP213" s="25">
        <v>1.7793000000000001</v>
      </c>
      <c r="AQ213" s="9"/>
      <c r="AR213" s="9" t="s">
        <v>26</v>
      </c>
      <c r="AS213" s="22">
        <v>1.4152</v>
      </c>
      <c r="AT213" s="22">
        <v>2.3208000000000002</v>
      </c>
      <c r="AU213" s="25">
        <v>4.0488</v>
      </c>
      <c r="AV213" s="9"/>
      <c r="AW213" s="9" t="s">
        <v>26</v>
      </c>
      <c r="AX213" s="22">
        <v>6.1425000000000001</v>
      </c>
      <c r="AY213" s="22">
        <v>15.8147</v>
      </c>
      <c r="AZ213" s="25">
        <v>0.82516999999999996</v>
      </c>
      <c r="BA213" s="9"/>
      <c r="BB213" s="9" t="s">
        <v>26</v>
      </c>
      <c r="BC213" s="22">
        <v>0.70372000000000001</v>
      </c>
      <c r="BD213" s="22">
        <v>0.97535499999999997</v>
      </c>
      <c r="BE213" s="25">
        <v>4.9970999999999997</v>
      </c>
      <c r="BF213" s="9"/>
      <c r="BG213" s="9" t="s">
        <v>26</v>
      </c>
      <c r="BH213" s="22">
        <v>2.375</v>
      </c>
      <c r="BI213" s="23">
        <v>18.646899999999999</v>
      </c>
    </row>
    <row r="214" spans="1:62" ht="15" thickBot="1" x14ac:dyDescent="0.4">
      <c r="A214" s="13" t="s">
        <v>166</v>
      </c>
      <c r="B214" s="13" t="s">
        <v>58</v>
      </c>
      <c r="C214" s="13" t="s">
        <v>65</v>
      </c>
      <c r="D214" s="13">
        <v>7.0529999999999995E-2</v>
      </c>
      <c r="E214" s="21">
        <v>44880</v>
      </c>
      <c r="F214" s="13">
        <v>1.0320254629629628</v>
      </c>
      <c r="G214" s="25">
        <v>119.85</v>
      </c>
      <c r="H214" s="9"/>
      <c r="I214" s="9" t="s">
        <v>26</v>
      </c>
      <c r="J214" s="22">
        <v>7.4051999999999998</v>
      </c>
      <c r="K214" s="22">
        <v>8.5975199999999994</v>
      </c>
      <c r="L214" s="25">
        <v>25.475000000000001</v>
      </c>
      <c r="M214" s="9"/>
      <c r="N214" s="9" t="s">
        <v>26</v>
      </c>
      <c r="O214" s="22">
        <v>3.7366000000000001</v>
      </c>
      <c r="P214" s="22">
        <v>31.830300000000001</v>
      </c>
      <c r="Q214" s="13"/>
      <c r="R214" s="9"/>
      <c r="S214" s="9" t="s">
        <v>26</v>
      </c>
      <c r="T214" s="9"/>
      <c r="U214" s="22">
        <v>1.0745199999999999</v>
      </c>
      <c r="V214" s="25">
        <v>1.9538</v>
      </c>
      <c r="W214" s="9"/>
      <c r="X214" s="9" t="s">
        <v>26</v>
      </c>
      <c r="Y214" s="22">
        <v>0.71553999999999995</v>
      </c>
      <c r="Z214" s="22">
        <v>2.69902</v>
      </c>
      <c r="AA214" s="25">
        <v>3.7416</v>
      </c>
      <c r="AB214" s="9"/>
      <c r="AC214" s="9" t="s">
        <v>26</v>
      </c>
      <c r="AD214" s="22">
        <v>0.73912</v>
      </c>
      <c r="AE214" s="22">
        <v>1.02261</v>
      </c>
      <c r="AF214" s="13"/>
      <c r="AG214" s="9"/>
      <c r="AH214" s="9" t="s">
        <v>26</v>
      </c>
      <c r="AI214" s="9"/>
      <c r="AJ214" s="22">
        <v>13.7135</v>
      </c>
      <c r="AK214" s="25">
        <v>2.2370999999999999</v>
      </c>
      <c r="AL214" s="9"/>
      <c r="AM214" s="9" t="s">
        <v>26</v>
      </c>
      <c r="AN214" s="22">
        <v>0.50046999999999997</v>
      </c>
      <c r="AO214" s="22">
        <v>2.2116699999999998</v>
      </c>
      <c r="AP214" s="25">
        <v>1.3193999999999999</v>
      </c>
      <c r="AQ214" s="9"/>
      <c r="AR214" s="9" t="s">
        <v>26</v>
      </c>
      <c r="AS214" s="22">
        <v>0.44073000000000001</v>
      </c>
      <c r="AT214" s="22">
        <v>2.06108</v>
      </c>
      <c r="AU214" s="25">
        <v>8.9635000000000006E-2</v>
      </c>
      <c r="AV214" s="9"/>
      <c r="AW214" s="9" t="s">
        <v>26</v>
      </c>
      <c r="AX214" s="22">
        <v>2.9902000000000002</v>
      </c>
      <c r="AY214" s="22">
        <v>12.425700000000001</v>
      </c>
      <c r="AZ214" s="25">
        <v>0.71699999999999997</v>
      </c>
      <c r="BA214" s="9"/>
      <c r="BB214" s="9" t="s">
        <v>26</v>
      </c>
      <c r="BC214" s="22">
        <v>0.17100000000000001</v>
      </c>
      <c r="BD214" s="22">
        <v>0.77942999999999996</v>
      </c>
      <c r="BE214" s="25">
        <v>5.2237999999999998</v>
      </c>
      <c r="BF214" s="9"/>
      <c r="BG214" s="9" t="s">
        <v>26</v>
      </c>
      <c r="BH214" s="22">
        <v>4.0492999999999997</v>
      </c>
      <c r="BI214" s="23">
        <v>18.1313</v>
      </c>
    </row>
    <row r="215" spans="1:62" ht="15" thickBot="1" x14ac:dyDescent="0.4">
      <c r="A215" s="13" t="s">
        <v>167</v>
      </c>
      <c r="B215" s="13" t="s">
        <v>58</v>
      </c>
      <c r="C215" s="13" t="s">
        <v>65</v>
      </c>
      <c r="D215" s="13">
        <v>6.4569000000000001E-2</v>
      </c>
      <c r="E215" s="21">
        <v>44881</v>
      </c>
      <c r="F215" s="13">
        <v>0.9682291666666667</v>
      </c>
      <c r="G215" s="25">
        <v>106.42</v>
      </c>
      <c r="H215" s="9"/>
      <c r="I215" s="9" t="s">
        <v>26</v>
      </c>
      <c r="J215" s="22">
        <v>13.744</v>
      </c>
      <c r="K215" s="22">
        <v>8.9581400000000002</v>
      </c>
      <c r="L215" s="25">
        <v>26.027000000000001</v>
      </c>
      <c r="M215" s="9"/>
      <c r="N215" s="9" t="s">
        <v>26</v>
      </c>
      <c r="O215" s="22">
        <v>6.0667</v>
      </c>
      <c r="P215" s="22">
        <v>41.1205</v>
      </c>
      <c r="Q215" s="13"/>
      <c r="R215" s="9"/>
      <c r="S215" s="9" t="s">
        <v>26</v>
      </c>
      <c r="T215" s="9"/>
      <c r="U215" s="22">
        <v>1.2065399999999999</v>
      </c>
      <c r="V215" s="25">
        <v>3.3822000000000001</v>
      </c>
      <c r="W215" s="9"/>
      <c r="X215" s="9" t="s">
        <v>26</v>
      </c>
      <c r="Y215" s="22">
        <v>0.65012000000000003</v>
      </c>
      <c r="Z215" s="22">
        <v>2.6193</v>
      </c>
      <c r="AA215" s="25">
        <v>2.2292999999999998</v>
      </c>
      <c r="AB215" s="9"/>
      <c r="AC215" s="9" t="s">
        <v>26</v>
      </c>
      <c r="AD215" s="22">
        <v>0.76849999999999996</v>
      </c>
      <c r="AE215" s="22">
        <v>1.11785</v>
      </c>
      <c r="AF215" s="13"/>
      <c r="AG215" s="9"/>
      <c r="AH215" s="9" t="s">
        <v>26</v>
      </c>
      <c r="AI215" s="9"/>
      <c r="AJ215" s="22">
        <v>14.8209</v>
      </c>
      <c r="AK215" s="25">
        <v>2.9095</v>
      </c>
      <c r="AL215" s="9"/>
      <c r="AM215" s="9" t="s">
        <v>26</v>
      </c>
      <c r="AN215" s="22">
        <v>1.6429</v>
      </c>
      <c r="AO215" s="22">
        <v>2.4563100000000002</v>
      </c>
      <c r="AP215" s="25">
        <v>1.9829000000000001</v>
      </c>
      <c r="AQ215" s="9"/>
      <c r="AR215" s="9" t="s">
        <v>26</v>
      </c>
      <c r="AS215" s="22">
        <v>1.2977000000000001</v>
      </c>
      <c r="AT215" s="22">
        <v>2.0688599999999999</v>
      </c>
      <c r="AU215" s="25">
        <v>1.9379</v>
      </c>
      <c r="AV215" s="9"/>
      <c r="AW215" s="9" t="s">
        <v>26</v>
      </c>
      <c r="AX215" s="22">
        <v>3.2547999999999999</v>
      </c>
      <c r="AY215" s="22">
        <v>12.9596</v>
      </c>
      <c r="AZ215" s="25">
        <v>1.0448999999999999</v>
      </c>
      <c r="BA215" s="9"/>
      <c r="BB215" s="9" t="s">
        <v>26</v>
      </c>
      <c r="BC215" s="22">
        <v>0.70799000000000001</v>
      </c>
      <c r="BD215" s="22">
        <v>0.86791200000000002</v>
      </c>
      <c r="BE215" s="25">
        <v>0.51215999999999995</v>
      </c>
      <c r="BF215" s="9"/>
      <c r="BG215" s="9" t="s">
        <v>26</v>
      </c>
      <c r="BH215" s="22">
        <v>4.3113999999999999</v>
      </c>
      <c r="BI215" s="23">
        <v>14.514799999999999</v>
      </c>
    </row>
    <row r="216" spans="1:62" ht="15" thickBot="1" x14ac:dyDescent="0.4">
      <c r="A216" s="13" t="s">
        <v>168</v>
      </c>
      <c r="B216" s="13" t="s">
        <v>58</v>
      </c>
      <c r="C216" s="13" t="s">
        <v>65</v>
      </c>
      <c r="D216" s="13">
        <v>6.5904000000000004E-2</v>
      </c>
      <c r="E216" s="21">
        <v>44882</v>
      </c>
      <c r="F216" s="13">
        <v>0.99482638888888886</v>
      </c>
      <c r="G216" s="26">
        <v>111.23</v>
      </c>
      <c r="H216" s="10"/>
      <c r="I216" s="10" t="s">
        <v>26</v>
      </c>
      <c r="J216" s="18">
        <v>7.0993000000000004</v>
      </c>
      <c r="K216" s="18">
        <v>9.2240300000000008</v>
      </c>
      <c r="L216" s="26">
        <v>23.667000000000002</v>
      </c>
      <c r="M216" s="10"/>
      <c r="N216" s="10" t="s">
        <v>26</v>
      </c>
      <c r="O216" s="18">
        <v>3.9357000000000002</v>
      </c>
      <c r="P216" s="18">
        <v>24.866199999999999</v>
      </c>
      <c r="Q216" s="11"/>
      <c r="R216" s="10"/>
      <c r="S216" s="10" t="s">
        <v>26</v>
      </c>
      <c r="T216" s="10"/>
      <c r="U216" s="18">
        <v>1.1625399999999999</v>
      </c>
      <c r="V216" s="11"/>
      <c r="W216" s="10"/>
      <c r="X216" s="10" t="s">
        <v>26</v>
      </c>
      <c r="Y216" s="10"/>
      <c r="Z216" s="18">
        <v>4.6852799999999997</v>
      </c>
      <c r="AA216" s="26">
        <v>2.8818999999999999</v>
      </c>
      <c r="AB216" s="10"/>
      <c r="AC216" s="10" t="s">
        <v>26</v>
      </c>
      <c r="AD216" s="18">
        <v>0.73048999999999997</v>
      </c>
      <c r="AE216" s="18">
        <v>1.05325</v>
      </c>
      <c r="AF216" s="26">
        <v>4.4821999999999997</v>
      </c>
      <c r="AG216" s="10"/>
      <c r="AH216" s="10" t="s">
        <v>26</v>
      </c>
      <c r="AI216" s="18">
        <v>1.4321999999999999</v>
      </c>
      <c r="AJ216" s="18">
        <v>6.2493800000000004</v>
      </c>
      <c r="AK216" s="26">
        <v>0.49872</v>
      </c>
      <c r="AL216" s="10"/>
      <c r="AM216" s="10" t="s">
        <v>26</v>
      </c>
      <c r="AN216" s="18">
        <v>1.5995999999999999</v>
      </c>
      <c r="AO216" s="18">
        <v>2.34476</v>
      </c>
      <c r="AP216" s="26">
        <v>1.1417999999999999</v>
      </c>
      <c r="AQ216" s="10"/>
      <c r="AR216" s="10" t="s">
        <v>26</v>
      </c>
      <c r="AS216" s="18">
        <v>0.46916999999999998</v>
      </c>
      <c r="AT216" s="18">
        <v>2.0043000000000002</v>
      </c>
      <c r="AU216" s="26">
        <v>8.3771000000000004</v>
      </c>
      <c r="AV216" s="10"/>
      <c r="AW216" s="10" t="s">
        <v>26</v>
      </c>
      <c r="AX216" s="18">
        <v>3.4377</v>
      </c>
      <c r="AY216" s="18">
        <v>14.608499999999999</v>
      </c>
      <c r="AZ216" s="26">
        <v>1.1544000000000001</v>
      </c>
      <c r="BA216" s="10"/>
      <c r="BB216" s="10" t="s">
        <v>26</v>
      </c>
      <c r="BC216" s="18">
        <v>0.19173999999999999</v>
      </c>
      <c r="BD216" s="18">
        <v>0.95832700000000004</v>
      </c>
      <c r="BE216" s="26">
        <v>12.794</v>
      </c>
      <c r="BF216" s="10"/>
      <c r="BG216" s="10" t="s">
        <v>26</v>
      </c>
      <c r="BH216" s="18">
        <v>6.6668000000000003</v>
      </c>
      <c r="BI216" s="19">
        <v>19.676100000000002</v>
      </c>
    </row>
    <row r="217" spans="1:62" ht="15" thickBot="1" x14ac:dyDescent="0.4">
      <c r="A217" s="10" t="s">
        <v>169</v>
      </c>
      <c r="B217" s="11" t="s">
        <v>58</v>
      </c>
      <c r="C217" s="11" t="s">
        <v>65</v>
      </c>
      <c r="D217" s="11">
        <v>6.8557000000000007E-2</v>
      </c>
      <c r="E217" s="20">
        <v>44883</v>
      </c>
      <c r="F217" s="11">
        <v>2.7095486111111113</v>
      </c>
      <c r="G217" s="28">
        <v>138.12</v>
      </c>
      <c r="H217" s="15"/>
      <c r="I217" s="15" t="s">
        <v>26</v>
      </c>
      <c r="J217" s="16">
        <v>9.8948999999999998</v>
      </c>
      <c r="K217" s="16">
        <v>5.3976199999999999</v>
      </c>
      <c r="L217" s="28">
        <v>19.498999999999999</v>
      </c>
      <c r="M217" s="15"/>
      <c r="N217" s="15" t="s">
        <v>26</v>
      </c>
      <c r="O217" s="16">
        <v>2.4218999999999999</v>
      </c>
      <c r="P217" s="16">
        <v>16.3475</v>
      </c>
      <c r="Q217" s="14"/>
      <c r="R217" s="15"/>
      <c r="S217" s="15" t="s">
        <v>26</v>
      </c>
      <c r="T217" s="15"/>
      <c r="U217" s="16">
        <v>0.671408</v>
      </c>
      <c r="V217" s="28">
        <v>3.3487</v>
      </c>
      <c r="W217" s="15"/>
      <c r="X217" s="15" t="s">
        <v>26</v>
      </c>
      <c r="Y217" s="16">
        <v>0.39977000000000001</v>
      </c>
      <c r="Z217" s="16">
        <v>1.7525299999999999</v>
      </c>
      <c r="AA217" s="28">
        <v>2.8306</v>
      </c>
      <c r="AB217" s="15"/>
      <c r="AC217" s="15" t="s">
        <v>26</v>
      </c>
      <c r="AD217" s="16">
        <v>0.38763999999999998</v>
      </c>
      <c r="AE217" s="16">
        <v>0.66284699999999996</v>
      </c>
      <c r="AF217" s="14"/>
      <c r="AG217" s="15"/>
      <c r="AH217" s="15" t="s">
        <v>26</v>
      </c>
      <c r="AI217" s="15"/>
      <c r="AJ217" s="16">
        <v>8.7018799999999992</v>
      </c>
      <c r="AK217" s="28">
        <v>1.1609</v>
      </c>
      <c r="AL217" s="15"/>
      <c r="AM217" s="15" t="s">
        <v>26</v>
      </c>
      <c r="AN217" s="16">
        <v>0.93242999999999998</v>
      </c>
      <c r="AO217" s="16">
        <v>1.5292399999999999</v>
      </c>
      <c r="AP217" s="28">
        <v>1.0931</v>
      </c>
      <c r="AQ217" s="15"/>
      <c r="AR217" s="15" t="s">
        <v>26</v>
      </c>
      <c r="AS217" s="16">
        <v>0.32289000000000001</v>
      </c>
      <c r="AT217" s="16">
        <v>1.3089200000000001</v>
      </c>
      <c r="AU217" s="28">
        <v>2.0186999999999999</v>
      </c>
      <c r="AV217" s="15"/>
      <c r="AW217" s="15" t="s">
        <v>26</v>
      </c>
      <c r="AX217" s="16">
        <v>3.8712</v>
      </c>
      <c r="AY217" s="16">
        <v>10.324400000000001</v>
      </c>
      <c r="AZ217" s="28">
        <v>1.2450000000000001</v>
      </c>
      <c r="BA217" s="15"/>
      <c r="BB217" s="15" t="s">
        <v>26</v>
      </c>
      <c r="BC217" s="16">
        <v>0.12556999999999999</v>
      </c>
      <c r="BD217" s="16">
        <v>0.58158200000000004</v>
      </c>
      <c r="BE217" s="28">
        <v>8.3794000000000004</v>
      </c>
      <c r="BF217" s="15"/>
      <c r="BG217" s="15" t="s">
        <v>26</v>
      </c>
      <c r="BH217" s="16">
        <v>1.4843999999999999</v>
      </c>
      <c r="BI217" s="17">
        <v>9.7483199999999997</v>
      </c>
    </row>
    <row r="218" spans="1:62" ht="15" thickBot="1" x14ac:dyDescent="0.4"/>
    <row r="219" spans="1:62" ht="15" thickBot="1" x14ac:dyDescent="0.4">
      <c r="H219" s="13" t="s">
        <v>18</v>
      </c>
      <c r="I219" s="9" t="s">
        <v>24</v>
      </c>
      <c r="J219" s="9"/>
      <c r="K219" s="9"/>
      <c r="L219" s="9"/>
      <c r="M219" s="13" t="s">
        <v>1</v>
      </c>
      <c r="N219" s="9" t="s">
        <v>23</v>
      </c>
      <c r="O219" s="9"/>
      <c r="P219" s="9"/>
      <c r="Q219" s="9"/>
      <c r="R219" s="13" t="s">
        <v>2</v>
      </c>
      <c r="S219" s="9" t="s">
        <v>41</v>
      </c>
      <c r="T219" s="9"/>
      <c r="U219" s="9"/>
      <c r="V219" s="9"/>
      <c r="W219" s="13" t="s">
        <v>7</v>
      </c>
      <c r="X219" s="9" t="s">
        <v>50</v>
      </c>
      <c r="Y219" s="9"/>
      <c r="Z219" s="9"/>
      <c r="AA219" s="9"/>
      <c r="AB219" s="13" t="s">
        <v>16</v>
      </c>
      <c r="AC219" s="9" t="s">
        <v>51</v>
      </c>
      <c r="AD219" s="9"/>
      <c r="AE219" s="9"/>
      <c r="AF219" s="9"/>
      <c r="AG219" s="13" t="s">
        <v>17</v>
      </c>
      <c r="AH219" s="9" t="s">
        <v>52</v>
      </c>
      <c r="AI219" s="9"/>
      <c r="AJ219" s="9"/>
      <c r="AK219" s="9"/>
      <c r="AL219" s="13" t="s">
        <v>19</v>
      </c>
      <c r="AM219" s="9" t="s">
        <v>53</v>
      </c>
      <c r="AN219" s="9"/>
      <c r="AO219" s="9"/>
      <c r="AP219" s="9"/>
      <c r="AQ219" s="13" t="s">
        <v>21</v>
      </c>
      <c r="AR219" s="9" t="s">
        <v>54</v>
      </c>
      <c r="AS219" s="9"/>
      <c r="AT219" s="9"/>
      <c r="AU219" s="9"/>
      <c r="AV219" s="13" t="s">
        <v>56</v>
      </c>
      <c r="AW219" s="9" t="s">
        <v>57</v>
      </c>
      <c r="AX219" s="9"/>
      <c r="AY219" s="9"/>
      <c r="AZ219" s="9"/>
      <c r="BA219" s="13" t="s">
        <v>60</v>
      </c>
      <c r="BB219" s="9" t="s">
        <v>61</v>
      </c>
      <c r="BC219" s="9"/>
      <c r="BD219" s="9"/>
      <c r="BE219" s="9"/>
      <c r="BF219" s="13" t="s">
        <v>62</v>
      </c>
      <c r="BG219" s="9" t="s">
        <v>63</v>
      </c>
      <c r="BH219" s="9"/>
      <c r="BI219" s="9"/>
      <c r="BJ219" s="12"/>
    </row>
    <row r="220" spans="1:62" ht="15" thickBot="1" x14ac:dyDescent="0.4">
      <c r="A220" s="13" t="s">
        <v>30</v>
      </c>
      <c r="B220" s="13"/>
      <c r="C220" s="13" t="s">
        <v>29</v>
      </c>
      <c r="D220" s="13" t="s">
        <v>31</v>
      </c>
      <c r="E220" s="13" t="s">
        <v>27</v>
      </c>
      <c r="F220" s="13" t="s">
        <v>25</v>
      </c>
      <c r="G220" s="13" t="s">
        <v>28</v>
      </c>
      <c r="H220" s="13" t="s">
        <v>33</v>
      </c>
      <c r="I220" s="9" t="s">
        <v>34</v>
      </c>
      <c r="J220" s="9"/>
      <c r="K220" s="9" t="s">
        <v>35</v>
      </c>
      <c r="L220" s="9" t="s">
        <v>36</v>
      </c>
      <c r="M220" s="13" t="s">
        <v>33</v>
      </c>
      <c r="N220" s="9" t="s">
        <v>34</v>
      </c>
      <c r="O220" s="9"/>
      <c r="P220" s="9" t="s">
        <v>35</v>
      </c>
      <c r="Q220" s="9" t="s">
        <v>36</v>
      </c>
      <c r="R220" s="13" t="s">
        <v>33</v>
      </c>
      <c r="S220" s="9" t="s">
        <v>34</v>
      </c>
      <c r="T220" s="9"/>
      <c r="U220" s="9" t="s">
        <v>35</v>
      </c>
      <c r="V220" s="9" t="s">
        <v>36</v>
      </c>
      <c r="W220" s="13" t="s">
        <v>33</v>
      </c>
      <c r="X220" s="9" t="s">
        <v>34</v>
      </c>
      <c r="Y220" s="9"/>
      <c r="Z220" s="9" t="s">
        <v>35</v>
      </c>
      <c r="AA220" s="9" t="s">
        <v>36</v>
      </c>
      <c r="AB220" s="13" t="s">
        <v>33</v>
      </c>
      <c r="AC220" s="9" t="s">
        <v>34</v>
      </c>
      <c r="AD220" s="9"/>
      <c r="AE220" s="9" t="s">
        <v>35</v>
      </c>
      <c r="AF220" s="9" t="s">
        <v>36</v>
      </c>
      <c r="AG220" s="13" t="s">
        <v>33</v>
      </c>
      <c r="AH220" s="9" t="s">
        <v>34</v>
      </c>
      <c r="AI220" s="9"/>
      <c r="AJ220" s="9" t="s">
        <v>35</v>
      </c>
      <c r="AK220" s="9" t="s">
        <v>36</v>
      </c>
      <c r="AL220" s="13" t="s">
        <v>33</v>
      </c>
      <c r="AM220" s="9" t="s">
        <v>34</v>
      </c>
      <c r="AN220" s="9"/>
      <c r="AO220" s="9" t="s">
        <v>35</v>
      </c>
      <c r="AP220" s="9" t="s">
        <v>36</v>
      </c>
      <c r="AQ220" s="13" t="s">
        <v>33</v>
      </c>
      <c r="AR220" s="9" t="s">
        <v>34</v>
      </c>
      <c r="AS220" s="9"/>
      <c r="AT220" s="9" t="s">
        <v>35</v>
      </c>
      <c r="AU220" s="9" t="s">
        <v>36</v>
      </c>
      <c r="AV220" s="13" t="s">
        <v>33</v>
      </c>
      <c r="AW220" s="9" t="s">
        <v>34</v>
      </c>
      <c r="AX220" s="9"/>
      <c r="AY220" s="9" t="s">
        <v>35</v>
      </c>
      <c r="AZ220" s="9" t="s">
        <v>36</v>
      </c>
      <c r="BA220" s="13" t="s">
        <v>33</v>
      </c>
      <c r="BB220" s="9" t="s">
        <v>34</v>
      </c>
      <c r="BC220" s="9"/>
      <c r="BD220" s="9" t="s">
        <v>35</v>
      </c>
      <c r="BE220" s="9" t="s">
        <v>36</v>
      </c>
      <c r="BF220" s="13" t="s">
        <v>33</v>
      </c>
      <c r="BG220" s="9" t="s">
        <v>34</v>
      </c>
      <c r="BH220" s="9"/>
      <c r="BI220" s="9" t="s">
        <v>35</v>
      </c>
      <c r="BJ220" s="12" t="s">
        <v>36</v>
      </c>
    </row>
    <row r="221" spans="1:62" ht="15" thickBot="1" x14ac:dyDescent="0.4">
      <c r="A221" s="13" t="s">
        <v>162</v>
      </c>
      <c r="B221" s="13"/>
      <c r="C221" s="13" t="s">
        <v>58</v>
      </c>
      <c r="D221" s="13" t="s">
        <v>65</v>
      </c>
      <c r="E221" s="13">
        <v>5.6916000000000001E-2</v>
      </c>
      <c r="F221" s="21">
        <v>44874</v>
      </c>
      <c r="G221" s="13">
        <v>1.0603472222222223</v>
      </c>
      <c r="H221" s="25">
        <v>29.518000000000001</v>
      </c>
      <c r="I221" s="9"/>
      <c r="J221" s="9" t="s">
        <v>26</v>
      </c>
      <c r="K221" s="22">
        <v>9.2095000000000002</v>
      </c>
      <c r="L221" s="22">
        <v>9.3963300000000007</v>
      </c>
      <c r="M221" s="25">
        <v>67.605000000000004</v>
      </c>
      <c r="N221" s="9"/>
      <c r="O221" s="9" t="s">
        <v>26</v>
      </c>
      <c r="P221" s="22">
        <v>16.268000000000001</v>
      </c>
      <c r="Q221" s="22">
        <v>23.535599999999999</v>
      </c>
      <c r="R221" s="13"/>
      <c r="S221" s="9"/>
      <c r="T221" s="9" t="s">
        <v>26</v>
      </c>
      <c r="U221" s="9"/>
      <c r="V221" s="22">
        <v>1.29959</v>
      </c>
      <c r="W221" s="13"/>
      <c r="X221" s="9"/>
      <c r="Y221" s="9" t="s">
        <v>26</v>
      </c>
      <c r="Z221" s="9"/>
      <c r="AA221" s="22">
        <v>4.6828900000000004</v>
      </c>
      <c r="AB221" s="25">
        <v>1.7529999999999999</v>
      </c>
      <c r="AC221" s="9"/>
      <c r="AD221" s="9" t="s">
        <v>26</v>
      </c>
      <c r="AE221" s="22">
        <v>2.5792000000000002</v>
      </c>
      <c r="AF221" s="22">
        <v>1.2677400000000001</v>
      </c>
      <c r="AG221" s="25">
        <v>2.8683999999999998</v>
      </c>
      <c r="AH221" s="9"/>
      <c r="AI221" s="9" t="s">
        <v>26</v>
      </c>
      <c r="AJ221" s="22">
        <v>1.5411999999999999</v>
      </c>
      <c r="AK221" s="22">
        <v>7.8208599999999997</v>
      </c>
      <c r="AL221" s="25">
        <v>2.8268</v>
      </c>
      <c r="AM221" s="9"/>
      <c r="AN221" s="9" t="s">
        <v>26</v>
      </c>
      <c r="AO221" s="22">
        <v>2.6566999999999998</v>
      </c>
      <c r="AP221" s="22">
        <v>2.4740199999999999</v>
      </c>
      <c r="AQ221" s="25">
        <v>2.5421</v>
      </c>
      <c r="AR221" s="9"/>
      <c r="AS221" s="9" t="s">
        <v>26</v>
      </c>
      <c r="AT221" s="22">
        <v>1.3944000000000001</v>
      </c>
      <c r="AU221" s="22">
        <v>2.2487300000000001</v>
      </c>
      <c r="AV221" s="25">
        <v>4.5970000000000004</v>
      </c>
      <c r="AW221" s="9"/>
      <c r="AX221" s="9" t="s">
        <v>26</v>
      </c>
      <c r="AY221" s="22">
        <v>3.5476000000000001</v>
      </c>
      <c r="AZ221" s="22">
        <v>14.974399999999999</v>
      </c>
      <c r="BA221" s="25">
        <v>0.93638999999999994</v>
      </c>
      <c r="BB221" s="9"/>
      <c r="BC221" s="9" t="s">
        <v>26</v>
      </c>
      <c r="BD221" s="22">
        <v>0.20527999999999999</v>
      </c>
      <c r="BE221" s="22">
        <v>0.91010800000000003</v>
      </c>
      <c r="BF221" s="25">
        <v>16.074999999999999</v>
      </c>
      <c r="BG221" s="9"/>
      <c r="BH221" s="9" t="s">
        <v>26</v>
      </c>
      <c r="BI221" s="22">
        <v>8.0538000000000007</v>
      </c>
      <c r="BJ221" s="23">
        <v>14.8345</v>
      </c>
    </row>
    <row r="222" spans="1:62" ht="15" thickBot="1" x14ac:dyDescent="0.4">
      <c r="A222" s="13" t="s">
        <v>163</v>
      </c>
      <c r="B222" s="13"/>
      <c r="C222" s="13" t="s">
        <v>58</v>
      </c>
      <c r="D222" s="13" t="s">
        <v>65</v>
      </c>
      <c r="E222" s="13">
        <v>6.3784999999999994E-2</v>
      </c>
      <c r="F222" s="21">
        <v>44875</v>
      </c>
      <c r="G222" s="13">
        <v>1.0928587962962963</v>
      </c>
      <c r="H222" s="25">
        <v>83.457999999999998</v>
      </c>
      <c r="I222" s="9"/>
      <c r="J222" s="9" t="s">
        <v>26</v>
      </c>
      <c r="K222" s="22">
        <v>5.5918999999999999</v>
      </c>
      <c r="L222" s="22">
        <v>8.6669099999999997</v>
      </c>
      <c r="M222" s="25">
        <v>26.067</v>
      </c>
      <c r="N222" s="9"/>
      <c r="O222" s="9" t="s">
        <v>26</v>
      </c>
      <c r="P222" s="22">
        <v>3.952</v>
      </c>
      <c r="Q222" s="22">
        <v>37.232399999999998</v>
      </c>
      <c r="R222" s="13"/>
      <c r="S222" s="9"/>
      <c r="T222" s="9" t="s">
        <v>26</v>
      </c>
      <c r="U222" s="9"/>
      <c r="V222" s="22">
        <v>1.1251500000000001</v>
      </c>
      <c r="W222" s="25">
        <v>3.1779000000000002</v>
      </c>
      <c r="X222" s="9"/>
      <c r="Y222" s="9" t="s">
        <v>26</v>
      </c>
      <c r="Z222" s="22">
        <v>2.9079999999999999</v>
      </c>
      <c r="AA222" s="22">
        <v>2.7582399999999998</v>
      </c>
      <c r="AB222" s="25">
        <v>2.6726999999999999</v>
      </c>
      <c r="AC222" s="9"/>
      <c r="AD222" s="9" t="s">
        <v>26</v>
      </c>
      <c r="AE222" s="22">
        <v>0.55961000000000005</v>
      </c>
      <c r="AF222" s="22">
        <v>1.0298499999999999</v>
      </c>
      <c r="AG222" s="13"/>
      <c r="AH222" s="9"/>
      <c r="AI222" s="9" t="s">
        <v>26</v>
      </c>
      <c r="AJ222" s="9"/>
      <c r="AK222" s="22">
        <v>14.005699999999999</v>
      </c>
      <c r="AL222" s="25">
        <v>2.8797999999999999</v>
      </c>
      <c r="AM222" s="9"/>
      <c r="AN222" s="9" t="s">
        <v>26</v>
      </c>
      <c r="AO222" s="22">
        <v>1.6875</v>
      </c>
      <c r="AP222" s="22">
        <v>2.2845499999999999</v>
      </c>
      <c r="AQ222" s="25">
        <v>1.6267</v>
      </c>
      <c r="AR222" s="9"/>
      <c r="AS222" s="9" t="s">
        <v>26</v>
      </c>
      <c r="AT222" s="22">
        <v>0.48219000000000001</v>
      </c>
      <c r="AU222" s="22">
        <v>1.96536</v>
      </c>
      <c r="AV222" s="25">
        <v>2.9498000000000002</v>
      </c>
      <c r="AW222" s="9"/>
      <c r="AX222" s="9" t="s">
        <v>26</v>
      </c>
      <c r="AY222" s="22">
        <v>4.4724000000000004</v>
      </c>
      <c r="AZ222" s="22">
        <v>13.785399999999999</v>
      </c>
      <c r="BA222" s="25">
        <v>1.2943</v>
      </c>
      <c r="BB222" s="9"/>
      <c r="BC222" s="9" t="s">
        <v>26</v>
      </c>
      <c r="BD222" s="22">
        <v>0.19836000000000001</v>
      </c>
      <c r="BE222" s="22">
        <v>0.85557899999999998</v>
      </c>
      <c r="BF222" s="25">
        <v>4.6322999999999999</v>
      </c>
      <c r="BG222" s="9"/>
      <c r="BH222" s="9" t="s">
        <v>26</v>
      </c>
      <c r="BI222" s="22">
        <v>4.1186999999999996</v>
      </c>
      <c r="BJ222" s="23">
        <v>13.6241</v>
      </c>
    </row>
    <row r="223" spans="1:62" ht="15" thickBot="1" x14ac:dyDescent="0.4">
      <c r="A223" s="13" t="s">
        <v>164</v>
      </c>
      <c r="B223" s="13"/>
      <c r="C223" s="13" t="s">
        <v>58</v>
      </c>
      <c r="D223" s="13" t="s">
        <v>65</v>
      </c>
      <c r="E223" s="13">
        <v>6.2106000000000001E-2</v>
      </c>
      <c r="F223" s="21">
        <v>44876</v>
      </c>
      <c r="G223" s="13">
        <v>2.6792476851851852</v>
      </c>
      <c r="H223" s="25">
        <v>77.067999999999998</v>
      </c>
      <c r="I223" s="9"/>
      <c r="J223" s="9" t="s">
        <v>26</v>
      </c>
      <c r="K223" s="22">
        <v>4.5590999999999999</v>
      </c>
      <c r="L223" s="22">
        <v>6.8633199999999999</v>
      </c>
      <c r="M223" s="25">
        <v>23.713999999999999</v>
      </c>
      <c r="N223" s="9"/>
      <c r="O223" s="9" t="s">
        <v>26</v>
      </c>
      <c r="P223" s="22">
        <v>7.4942000000000002</v>
      </c>
      <c r="Q223" s="22">
        <v>12.1289</v>
      </c>
      <c r="R223" s="13"/>
      <c r="S223" s="9"/>
      <c r="T223" s="9" t="s">
        <v>26</v>
      </c>
      <c r="U223" s="9"/>
      <c r="V223" s="22">
        <v>0.74257399999999996</v>
      </c>
      <c r="W223" s="25">
        <v>2.0705</v>
      </c>
      <c r="X223" s="9"/>
      <c r="Y223" s="9" t="s">
        <v>26</v>
      </c>
      <c r="Z223" s="22">
        <v>0.41056999999999999</v>
      </c>
      <c r="AA223" s="22">
        <v>2.06901</v>
      </c>
      <c r="AB223" s="25">
        <v>2.5903</v>
      </c>
      <c r="AC223" s="9"/>
      <c r="AD223" s="9" t="s">
        <v>26</v>
      </c>
      <c r="AE223" s="22">
        <v>0.18994</v>
      </c>
      <c r="AF223" s="22">
        <v>0.68349899999999997</v>
      </c>
      <c r="AG223" s="13"/>
      <c r="AH223" s="9"/>
      <c r="AI223" s="9" t="s">
        <v>26</v>
      </c>
      <c r="AJ223" s="9"/>
      <c r="AK223" s="22">
        <v>9.5340600000000002</v>
      </c>
      <c r="AL223" s="25">
        <v>3.8975</v>
      </c>
      <c r="AM223" s="9"/>
      <c r="AN223" s="9" t="s">
        <v>26</v>
      </c>
      <c r="AO223" s="22">
        <v>0.40490999999999999</v>
      </c>
      <c r="AP223" s="22">
        <v>1.6501999999999999</v>
      </c>
      <c r="AQ223" s="25">
        <v>3.8645999999999998</v>
      </c>
      <c r="AR223" s="9"/>
      <c r="AS223" s="9" t="s">
        <v>26</v>
      </c>
      <c r="AT223" s="22">
        <v>0.37902000000000002</v>
      </c>
      <c r="AU223" s="22">
        <v>1.47112</v>
      </c>
      <c r="AV223" s="25">
        <v>1.8528</v>
      </c>
      <c r="AW223" s="9"/>
      <c r="AX223" s="9" t="s">
        <v>26</v>
      </c>
      <c r="AY223" s="22">
        <v>3.2989999999999999</v>
      </c>
      <c r="AZ223" s="22">
        <v>11.401</v>
      </c>
      <c r="BA223" s="25">
        <v>0.65478000000000003</v>
      </c>
      <c r="BB223" s="9"/>
      <c r="BC223" s="9" t="s">
        <v>26</v>
      </c>
      <c r="BD223" s="22">
        <v>0.13012000000000001</v>
      </c>
      <c r="BE223" s="22">
        <v>0.66482200000000002</v>
      </c>
      <c r="BF223" s="25">
        <v>8.9316999999999993</v>
      </c>
      <c r="BG223" s="9"/>
      <c r="BH223" s="9" t="s">
        <v>26</v>
      </c>
      <c r="BI223" s="22">
        <v>1.6332</v>
      </c>
      <c r="BJ223" s="23">
        <v>8.6789699999999996</v>
      </c>
    </row>
    <row r="224" spans="1:62" ht="15" thickBot="1" x14ac:dyDescent="0.4">
      <c r="A224" s="13" t="s">
        <v>165</v>
      </c>
      <c r="B224" s="13"/>
      <c r="C224" s="13" t="s">
        <v>58</v>
      </c>
      <c r="D224" s="13" t="s">
        <v>65</v>
      </c>
      <c r="E224" s="13">
        <v>5.9729999999999998E-2</v>
      </c>
      <c r="F224" s="21">
        <v>44879</v>
      </c>
      <c r="G224" s="13">
        <v>0.98627314814814815</v>
      </c>
      <c r="H224" s="25">
        <v>70.582999999999998</v>
      </c>
      <c r="I224" s="9"/>
      <c r="J224" s="9" t="s">
        <v>26</v>
      </c>
      <c r="K224" s="22">
        <v>5.1356999999999999</v>
      </c>
      <c r="L224" s="22">
        <v>9.1845999999999997</v>
      </c>
      <c r="M224" s="25">
        <v>33.218000000000004</v>
      </c>
      <c r="N224" s="9"/>
      <c r="O224" s="9" t="s">
        <v>26</v>
      </c>
      <c r="P224" s="22">
        <v>4.5429000000000004</v>
      </c>
      <c r="Q224" s="22">
        <v>31.433599999999998</v>
      </c>
      <c r="R224" s="13"/>
      <c r="S224" s="9"/>
      <c r="T224" s="9" t="s">
        <v>26</v>
      </c>
      <c r="U224" s="9"/>
      <c r="V224" s="22">
        <v>1.2629699999999999</v>
      </c>
      <c r="W224" s="25">
        <v>0.97116000000000002</v>
      </c>
      <c r="X224" s="9"/>
      <c r="Y224" s="9" t="s">
        <v>26</v>
      </c>
      <c r="Z224" s="22">
        <v>0.60062000000000004</v>
      </c>
      <c r="AA224" s="22">
        <v>2.6378499999999998</v>
      </c>
      <c r="AB224" s="25">
        <v>3.3273000000000001</v>
      </c>
      <c r="AC224" s="9"/>
      <c r="AD224" s="9" t="s">
        <v>26</v>
      </c>
      <c r="AE224" s="22">
        <v>0.80564000000000002</v>
      </c>
      <c r="AF224" s="22">
        <v>1.1285099999999999</v>
      </c>
      <c r="AG224" s="13"/>
      <c r="AH224" s="9"/>
      <c r="AI224" s="9" t="s">
        <v>26</v>
      </c>
      <c r="AJ224" s="9"/>
      <c r="AK224" s="22">
        <v>15.974399999999999</v>
      </c>
      <c r="AL224" s="25">
        <v>1.4912000000000001</v>
      </c>
      <c r="AM224" s="9"/>
      <c r="AN224" s="9" t="s">
        <v>26</v>
      </c>
      <c r="AO224" s="22">
        <v>1.0547</v>
      </c>
      <c r="AP224" s="22">
        <v>2.5359500000000001</v>
      </c>
      <c r="AQ224" s="25">
        <v>1.7793000000000001</v>
      </c>
      <c r="AR224" s="9"/>
      <c r="AS224" s="9" t="s">
        <v>26</v>
      </c>
      <c r="AT224" s="22">
        <v>1.4152</v>
      </c>
      <c r="AU224" s="22">
        <v>2.3208000000000002</v>
      </c>
      <c r="AV224" s="25">
        <v>4.0488</v>
      </c>
      <c r="AW224" s="9"/>
      <c r="AX224" s="9" t="s">
        <v>26</v>
      </c>
      <c r="AY224" s="22">
        <v>6.1425000000000001</v>
      </c>
      <c r="AZ224" s="22">
        <v>15.8147</v>
      </c>
      <c r="BA224" s="25">
        <v>0.82516999999999996</v>
      </c>
      <c r="BB224" s="9"/>
      <c r="BC224" s="9" t="s">
        <v>26</v>
      </c>
      <c r="BD224" s="22">
        <v>0.70372000000000001</v>
      </c>
      <c r="BE224" s="22">
        <v>0.97535499999999997</v>
      </c>
      <c r="BF224" s="25">
        <v>4.9970999999999997</v>
      </c>
      <c r="BG224" s="9"/>
      <c r="BH224" s="9" t="s">
        <v>26</v>
      </c>
      <c r="BI224" s="22">
        <v>2.375</v>
      </c>
      <c r="BJ224" s="23">
        <v>18.646899999999999</v>
      </c>
    </row>
    <row r="225" spans="1:62" ht="15" thickBot="1" x14ac:dyDescent="0.4">
      <c r="A225" s="13" t="s">
        <v>166</v>
      </c>
      <c r="B225" s="13"/>
      <c r="C225" s="13" t="s">
        <v>58</v>
      </c>
      <c r="D225" s="13" t="s">
        <v>65</v>
      </c>
      <c r="E225" s="13">
        <v>7.0529999999999995E-2</v>
      </c>
      <c r="F225" s="21">
        <v>44880</v>
      </c>
      <c r="G225" s="13">
        <v>1.0320254629629628</v>
      </c>
      <c r="H225" s="25">
        <v>119.85</v>
      </c>
      <c r="I225" s="9"/>
      <c r="J225" s="9" t="s">
        <v>26</v>
      </c>
      <c r="K225" s="22">
        <v>7.4051999999999998</v>
      </c>
      <c r="L225" s="22">
        <v>8.5975199999999994</v>
      </c>
      <c r="M225" s="25">
        <v>25.475000000000001</v>
      </c>
      <c r="N225" s="9"/>
      <c r="O225" s="9" t="s">
        <v>26</v>
      </c>
      <c r="P225" s="22">
        <v>3.7366000000000001</v>
      </c>
      <c r="Q225" s="22">
        <v>31.830300000000001</v>
      </c>
      <c r="R225" s="13"/>
      <c r="S225" s="9"/>
      <c r="T225" s="9" t="s">
        <v>26</v>
      </c>
      <c r="U225" s="9"/>
      <c r="V225" s="22">
        <v>1.0745199999999999</v>
      </c>
      <c r="W225" s="25">
        <v>1.9538</v>
      </c>
      <c r="X225" s="9"/>
      <c r="Y225" s="9" t="s">
        <v>26</v>
      </c>
      <c r="Z225" s="22">
        <v>0.71553999999999995</v>
      </c>
      <c r="AA225" s="22">
        <v>2.69902</v>
      </c>
      <c r="AB225" s="25">
        <v>3.7416</v>
      </c>
      <c r="AC225" s="9"/>
      <c r="AD225" s="9" t="s">
        <v>26</v>
      </c>
      <c r="AE225" s="22">
        <v>0.73912</v>
      </c>
      <c r="AF225" s="22">
        <v>1.02261</v>
      </c>
      <c r="AG225" s="13"/>
      <c r="AH225" s="9"/>
      <c r="AI225" s="9" t="s">
        <v>26</v>
      </c>
      <c r="AJ225" s="9"/>
      <c r="AK225" s="22">
        <v>13.7135</v>
      </c>
      <c r="AL225" s="25">
        <v>2.2370999999999999</v>
      </c>
      <c r="AM225" s="9"/>
      <c r="AN225" s="9" t="s">
        <v>26</v>
      </c>
      <c r="AO225" s="22">
        <v>0.50046999999999997</v>
      </c>
      <c r="AP225" s="22">
        <v>2.2116699999999998</v>
      </c>
      <c r="AQ225" s="25">
        <v>1.3193999999999999</v>
      </c>
      <c r="AR225" s="9"/>
      <c r="AS225" s="9" t="s">
        <v>26</v>
      </c>
      <c r="AT225" s="22">
        <v>0.44073000000000001</v>
      </c>
      <c r="AU225" s="22">
        <v>2.06108</v>
      </c>
      <c r="AV225" s="25">
        <v>8.9635000000000006E-2</v>
      </c>
      <c r="AW225" s="9"/>
      <c r="AX225" s="9" t="s">
        <v>26</v>
      </c>
      <c r="AY225" s="22">
        <v>2.9902000000000002</v>
      </c>
      <c r="AZ225" s="22">
        <v>12.425700000000001</v>
      </c>
      <c r="BA225" s="25">
        <v>0.71699999999999997</v>
      </c>
      <c r="BB225" s="9"/>
      <c r="BC225" s="9" t="s">
        <v>26</v>
      </c>
      <c r="BD225" s="22">
        <v>0.17100000000000001</v>
      </c>
      <c r="BE225" s="22">
        <v>0.77942999999999996</v>
      </c>
      <c r="BF225" s="25">
        <v>5.2237999999999998</v>
      </c>
      <c r="BG225" s="9"/>
      <c r="BH225" s="9" t="s">
        <v>26</v>
      </c>
      <c r="BI225" s="22">
        <v>4.0492999999999997</v>
      </c>
      <c r="BJ225" s="23">
        <v>18.1313</v>
      </c>
    </row>
    <row r="226" spans="1:62" ht="15" thickBot="1" x14ac:dyDescent="0.4">
      <c r="A226" s="13" t="s">
        <v>167</v>
      </c>
      <c r="B226" s="13"/>
      <c r="C226" s="13" t="s">
        <v>58</v>
      </c>
      <c r="D226" s="13" t="s">
        <v>65</v>
      </c>
      <c r="E226" s="13">
        <v>6.4569000000000001E-2</v>
      </c>
      <c r="F226" s="21">
        <v>44881</v>
      </c>
      <c r="G226" s="13">
        <v>0.9682291666666667</v>
      </c>
      <c r="H226" s="25">
        <v>106.42</v>
      </c>
      <c r="I226" s="9"/>
      <c r="J226" s="9" t="s">
        <v>26</v>
      </c>
      <c r="K226" s="22">
        <v>13.744</v>
      </c>
      <c r="L226" s="22">
        <v>8.9581400000000002</v>
      </c>
      <c r="M226" s="25">
        <v>26.027000000000001</v>
      </c>
      <c r="N226" s="9"/>
      <c r="O226" s="9" t="s">
        <v>26</v>
      </c>
      <c r="P226" s="22">
        <v>6.0667</v>
      </c>
      <c r="Q226" s="22">
        <v>41.1205</v>
      </c>
      <c r="R226" s="13"/>
      <c r="S226" s="9"/>
      <c r="T226" s="9" t="s">
        <v>26</v>
      </c>
      <c r="U226" s="9"/>
      <c r="V226" s="22">
        <v>1.2065399999999999</v>
      </c>
      <c r="W226" s="25">
        <v>3.3822000000000001</v>
      </c>
      <c r="X226" s="9"/>
      <c r="Y226" s="9" t="s">
        <v>26</v>
      </c>
      <c r="Z226" s="22">
        <v>0.65012000000000003</v>
      </c>
      <c r="AA226" s="22">
        <v>2.6193</v>
      </c>
      <c r="AB226" s="25">
        <v>2.2292999999999998</v>
      </c>
      <c r="AC226" s="9"/>
      <c r="AD226" s="9" t="s">
        <v>26</v>
      </c>
      <c r="AE226" s="22">
        <v>0.76849999999999996</v>
      </c>
      <c r="AF226" s="22">
        <v>1.11785</v>
      </c>
      <c r="AG226" s="13"/>
      <c r="AH226" s="9"/>
      <c r="AI226" s="9" t="s">
        <v>26</v>
      </c>
      <c r="AJ226" s="9"/>
      <c r="AK226" s="22">
        <v>14.8209</v>
      </c>
      <c r="AL226" s="25">
        <v>2.9095</v>
      </c>
      <c r="AM226" s="9"/>
      <c r="AN226" s="9" t="s">
        <v>26</v>
      </c>
      <c r="AO226" s="22">
        <v>1.6429</v>
      </c>
      <c r="AP226" s="22">
        <v>2.4563100000000002</v>
      </c>
      <c r="AQ226" s="25">
        <v>1.9829000000000001</v>
      </c>
      <c r="AR226" s="9"/>
      <c r="AS226" s="9" t="s">
        <v>26</v>
      </c>
      <c r="AT226" s="22">
        <v>1.2977000000000001</v>
      </c>
      <c r="AU226" s="22">
        <v>2.0688599999999999</v>
      </c>
      <c r="AV226" s="25">
        <v>1.9379</v>
      </c>
      <c r="AW226" s="9"/>
      <c r="AX226" s="9" t="s">
        <v>26</v>
      </c>
      <c r="AY226" s="22">
        <v>3.2547999999999999</v>
      </c>
      <c r="AZ226" s="22">
        <v>12.9596</v>
      </c>
      <c r="BA226" s="25">
        <v>1.0448999999999999</v>
      </c>
      <c r="BB226" s="9"/>
      <c r="BC226" s="9" t="s">
        <v>26</v>
      </c>
      <c r="BD226" s="22">
        <v>0.70799000000000001</v>
      </c>
      <c r="BE226" s="22">
        <v>0.86791200000000002</v>
      </c>
      <c r="BF226" s="25">
        <v>0.51215999999999995</v>
      </c>
      <c r="BG226" s="9"/>
      <c r="BH226" s="9" t="s">
        <v>26</v>
      </c>
      <c r="BI226" s="22">
        <v>4.3113999999999999</v>
      </c>
      <c r="BJ226" s="23">
        <v>14.514799999999999</v>
      </c>
    </row>
    <row r="227" spans="1:62" ht="15" thickBot="1" x14ac:dyDescent="0.4">
      <c r="A227" s="13" t="s">
        <v>168</v>
      </c>
      <c r="B227" s="13"/>
      <c r="C227" s="13" t="s">
        <v>58</v>
      </c>
      <c r="D227" s="13" t="s">
        <v>65</v>
      </c>
      <c r="E227" s="13">
        <v>6.5904000000000004E-2</v>
      </c>
      <c r="F227" s="21">
        <v>44882</v>
      </c>
      <c r="G227" s="13">
        <v>0.99482638888888886</v>
      </c>
      <c r="H227" s="25">
        <v>111.23</v>
      </c>
      <c r="I227" s="9"/>
      <c r="J227" s="9" t="s">
        <v>26</v>
      </c>
      <c r="K227" s="22">
        <v>7.0993000000000004</v>
      </c>
      <c r="L227" s="22">
        <v>9.2240300000000008</v>
      </c>
      <c r="M227" s="25">
        <v>23.667000000000002</v>
      </c>
      <c r="N227" s="9"/>
      <c r="O227" s="9" t="s">
        <v>26</v>
      </c>
      <c r="P227" s="22">
        <v>3.9357000000000002</v>
      </c>
      <c r="Q227" s="22">
        <v>24.866199999999999</v>
      </c>
      <c r="R227" s="13"/>
      <c r="S227" s="9"/>
      <c r="T227" s="9" t="s">
        <v>26</v>
      </c>
      <c r="U227" s="9"/>
      <c r="V227" s="22">
        <v>1.1625399999999999</v>
      </c>
      <c r="W227" s="13"/>
      <c r="X227" s="9"/>
      <c r="Y227" s="9" t="s">
        <v>26</v>
      </c>
      <c r="Z227" s="9"/>
      <c r="AA227" s="22">
        <v>4.6852799999999997</v>
      </c>
      <c r="AB227" s="25">
        <v>2.8818999999999999</v>
      </c>
      <c r="AC227" s="9"/>
      <c r="AD227" s="9" t="s">
        <v>26</v>
      </c>
      <c r="AE227" s="22">
        <v>0.73048999999999997</v>
      </c>
      <c r="AF227" s="22">
        <v>1.05325</v>
      </c>
      <c r="AG227" s="25">
        <v>4.4821999999999997</v>
      </c>
      <c r="AH227" s="9"/>
      <c r="AI227" s="9" t="s">
        <v>26</v>
      </c>
      <c r="AJ227" s="22">
        <v>1.4321999999999999</v>
      </c>
      <c r="AK227" s="22">
        <v>6.2493800000000004</v>
      </c>
      <c r="AL227" s="25">
        <v>0.49872</v>
      </c>
      <c r="AM227" s="9"/>
      <c r="AN227" s="9" t="s">
        <v>26</v>
      </c>
      <c r="AO227" s="22">
        <v>1.5995999999999999</v>
      </c>
      <c r="AP227" s="22">
        <v>2.34476</v>
      </c>
      <c r="AQ227" s="25">
        <v>1.1417999999999999</v>
      </c>
      <c r="AR227" s="9"/>
      <c r="AS227" s="9" t="s">
        <v>26</v>
      </c>
      <c r="AT227" s="22">
        <v>0.46916999999999998</v>
      </c>
      <c r="AU227" s="22">
        <v>2.0043000000000002</v>
      </c>
      <c r="AV227" s="25">
        <v>8.3771000000000004</v>
      </c>
      <c r="AW227" s="9"/>
      <c r="AX227" s="9" t="s">
        <v>26</v>
      </c>
      <c r="AY227" s="22">
        <v>3.4377</v>
      </c>
      <c r="AZ227" s="22">
        <v>14.608499999999999</v>
      </c>
      <c r="BA227" s="25">
        <v>1.1544000000000001</v>
      </c>
      <c r="BB227" s="9"/>
      <c r="BC227" s="9" t="s">
        <v>26</v>
      </c>
      <c r="BD227" s="22">
        <v>0.19173999999999999</v>
      </c>
      <c r="BE227" s="22">
        <v>0.95832700000000004</v>
      </c>
      <c r="BF227" s="25">
        <v>12.794</v>
      </c>
      <c r="BG227" s="9"/>
      <c r="BH227" s="9" t="s">
        <v>26</v>
      </c>
      <c r="BI227" s="22">
        <v>6.6668000000000003</v>
      </c>
      <c r="BJ227" s="23">
        <v>19.676100000000002</v>
      </c>
    </row>
    <row r="228" spans="1:62" ht="15" thickBot="1" x14ac:dyDescent="0.4">
      <c r="A228" s="13" t="s">
        <v>169</v>
      </c>
      <c r="B228" s="13"/>
      <c r="C228" s="13" t="s">
        <v>58</v>
      </c>
      <c r="D228" s="13" t="s">
        <v>65</v>
      </c>
      <c r="E228" s="13">
        <v>6.8557000000000007E-2</v>
      </c>
      <c r="F228" s="21">
        <v>44883</v>
      </c>
      <c r="G228" s="13">
        <v>2.7095486111111113</v>
      </c>
      <c r="H228" s="25">
        <v>138.12</v>
      </c>
      <c r="I228" s="9"/>
      <c r="J228" s="9" t="s">
        <v>26</v>
      </c>
      <c r="K228" s="22">
        <v>9.8948999999999998</v>
      </c>
      <c r="L228" s="22">
        <v>5.3976199999999999</v>
      </c>
      <c r="M228" s="25">
        <v>19.498999999999999</v>
      </c>
      <c r="N228" s="9"/>
      <c r="O228" s="9" t="s">
        <v>26</v>
      </c>
      <c r="P228" s="22">
        <v>2.4218999999999999</v>
      </c>
      <c r="Q228" s="22">
        <v>16.3475</v>
      </c>
      <c r="R228" s="13"/>
      <c r="S228" s="9"/>
      <c r="T228" s="9" t="s">
        <v>26</v>
      </c>
      <c r="U228" s="9"/>
      <c r="V228" s="22">
        <v>0.671408</v>
      </c>
      <c r="W228" s="25">
        <v>3.3487</v>
      </c>
      <c r="X228" s="9"/>
      <c r="Y228" s="9" t="s">
        <v>26</v>
      </c>
      <c r="Z228" s="22">
        <v>0.39977000000000001</v>
      </c>
      <c r="AA228" s="22">
        <v>1.7525299999999999</v>
      </c>
      <c r="AB228" s="25">
        <v>2.8306</v>
      </c>
      <c r="AC228" s="9"/>
      <c r="AD228" s="9" t="s">
        <v>26</v>
      </c>
      <c r="AE228" s="22">
        <v>0.38763999999999998</v>
      </c>
      <c r="AF228" s="22">
        <v>0.66284699999999996</v>
      </c>
      <c r="AG228" s="13"/>
      <c r="AH228" s="9"/>
      <c r="AI228" s="9" t="s">
        <v>26</v>
      </c>
      <c r="AJ228" s="9"/>
      <c r="AK228" s="22">
        <v>8.7018799999999992</v>
      </c>
      <c r="AL228" s="25">
        <v>1.1609</v>
      </c>
      <c r="AM228" s="9"/>
      <c r="AN228" s="9" t="s">
        <v>26</v>
      </c>
      <c r="AO228" s="22">
        <v>0.93242999999999998</v>
      </c>
      <c r="AP228" s="22">
        <v>1.5292399999999999</v>
      </c>
      <c r="AQ228" s="25">
        <v>1.0931</v>
      </c>
      <c r="AR228" s="9"/>
      <c r="AS228" s="9" t="s">
        <v>26</v>
      </c>
      <c r="AT228" s="22">
        <v>0.32289000000000001</v>
      </c>
      <c r="AU228" s="22">
        <v>1.3089200000000001</v>
      </c>
      <c r="AV228" s="25">
        <v>2.0186999999999999</v>
      </c>
      <c r="AW228" s="9"/>
      <c r="AX228" s="9" t="s">
        <v>26</v>
      </c>
      <c r="AY228" s="22">
        <v>3.8712</v>
      </c>
      <c r="AZ228" s="22">
        <v>10.324400000000001</v>
      </c>
      <c r="BA228" s="25">
        <v>1.2450000000000001</v>
      </c>
      <c r="BB228" s="9"/>
      <c r="BC228" s="9" t="s">
        <v>26</v>
      </c>
      <c r="BD228" s="22">
        <v>0.12556999999999999</v>
      </c>
      <c r="BE228" s="22">
        <v>0.58158200000000004</v>
      </c>
      <c r="BF228" s="25">
        <v>8.3794000000000004</v>
      </c>
      <c r="BG228" s="9"/>
      <c r="BH228" s="9" t="s">
        <v>26</v>
      </c>
      <c r="BI228" s="22">
        <v>1.4843999999999999</v>
      </c>
      <c r="BJ228" s="23">
        <v>9.7483199999999997</v>
      </c>
    </row>
    <row r="229" spans="1:62" ht="15" thickBot="1" x14ac:dyDescent="0.4">
      <c r="A229" s="13" t="s">
        <v>175</v>
      </c>
      <c r="B229" s="13"/>
      <c r="C229" s="13" t="s">
        <v>58</v>
      </c>
      <c r="D229" s="13" t="s">
        <v>65</v>
      </c>
      <c r="E229" s="13">
        <v>7.0988999999999997E-2</v>
      </c>
      <c r="F229" s="21">
        <v>44886</v>
      </c>
      <c r="G229" s="13">
        <v>1.0293287037037038</v>
      </c>
      <c r="H229" s="25">
        <v>112.66</v>
      </c>
      <c r="I229" s="9"/>
      <c r="J229" s="9" t="s">
        <v>26</v>
      </c>
      <c r="K229" s="22">
        <v>6.9946999999999999</v>
      </c>
      <c r="L229" s="22">
        <v>7.4183199999999996</v>
      </c>
      <c r="M229" s="25">
        <v>18.68</v>
      </c>
      <c r="N229" s="9"/>
      <c r="O229" s="9" t="s">
        <v>26</v>
      </c>
      <c r="P229" s="22">
        <v>3.5655999999999999</v>
      </c>
      <c r="Q229" s="22">
        <v>29.1816</v>
      </c>
      <c r="R229" s="13"/>
      <c r="S229" s="9"/>
      <c r="T229" s="9" t="s">
        <v>26</v>
      </c>
      <c r="U229" s="9"/>
      <c r="V229" s="22">
        <v>1.0688800000000001</v>
      </c>
      <c r="W229" s="25">
        <v>1.2748999999999999</v>
      </c>
      <c r="X229" s="9"/>
      <c r="Y229" s="9" t="s">
        <v>26</v>
      </c>
      <c r="Z229" s="22">
        <v>0.53630999999999995</v>
      </c>
      <c r="AA229" s="22">
        <v>2.3349099999999998</v>
      </c>
      <c r="AB229" s="25">
        <v>2.6718000000000002</v>
      </c>
      <c r="AC229" s="9"/>
      <c r="AD229" s="9" t="s">
        <v>26</v>
      </c>
      <c r="AE229" s="22">
        <v>0.25335999999999997</v>
      </c>
      <c r="AF229" s="22">
        <v>0.96180500000000002</v>
      </c>
      <c r="AG229" s="25">
        <v>3.4443999999999999</v>
      </c>
      <c r="AH229" s="9"/>
      <c r="AI229" s="9" t="s">
        <v>26</v>
      </c>
      <c r="AJ229" s="22">
        <v>1.3957999999999999</v>
      </c>
      <c r="AK229" s="22">
        <v>6.4341699999999999</v>
      </c>
      <c r="AL229" s="25">
        <v>0.83304</v>
      </c>
      <c r="AM229" s="9"/>
      <c r="AN229" s="9" t="s">
        <v>26</v>
      </c>
      <c r="AO229" s="22">
        <v>1.3428</v>
      </c>
      <c r="AP229" s="22">
        <v>2.1393800000000001</v>
      </c>
      <c r="AQ229" s="25">
        <v>0.52700999999999998</v>
      </c>
      <c r="AR229" s="9"/>
      <c r="AS229" s="9" t="s">
        <v>26</v>
      </c>
      <c r="AT229" s="22">
        <v>0.42335</v>
      </c>
      <c r="AU229" s="22">
        <v>1.9268000000000001</v>
      </c>
      <c r="AV229" s="25">
        <v>13.757999999999999</v>
      </c>
      <c r="AW229" s="9"/>
      <c r="AX229" s="9" t="s">
        <v>26</v>
      </c>
      <c r="AY229" s="22">
        <v>8.1920999999999999</v>
      </c>
      <c r="AZ229" s="22">
        <v>15.431699999999999</v>
      </c>
      <c r="BA229" s="25">
        <v>0.79722999999999999</v>
      </c>
      <c r="BB229" s="9"/>
      <c r="BC229" s="9" t="s">
        <v>26</v>
      </c>
      <c r="BD229" s="22">
        <v>0.17188999999999999</v>
      </c>
      <c r="BE229" s="22">
        <v>0.79087099999999999</v>
      </c>
      <c r="BF229" s="25">
        <v>9.6014999999999997</v>
      </c>
      <c r="BG229" s="9"/>
      <c r="BH229" s="9" t="s">
        <v>26</v>
      </c>
      <c r="BI229" s="22">
        <v>2.177</v>
      </c>
      <c r="BJ229" s="23">
        <v>14.967000000000001</v>
      </c>
    </row>
    <row r="230" spans="1:62" ht="15" thickBot="1" x14ac:dyDescent="0.4">
      <c r="A230" s="13" t="s">
        <v>176</v>
      </c>
      <c r="B230" s="13"/>
      <c r="C230" s="13" t="s">
        <v>58</v>
      </c>
      <c r="D230" s="13" t="s">
        <v>65</v>
      </c>
      <c r="E230" s="13">
        <v>6.9671999999999998E-2</v>
      </c>
      <c r="F230" s="21">
        <v>44887</v>
      </c>
      <c r="G230" s="13">
        <v>0.97195601851851843</v>
      </c>
      <c r="H230" s="25">
        <v>130.6</v>
      </c>
      <c r="I230" s="9"/>
      <c r="J230" s="9" t="s">
        <v>26</v>
      </c>
      <c r="K230" s="22">
        <v>8.0431000000000008</v>
      </c>
      <c r="L230" s="22">
        <v>8.0948100000000007</v>
      </c>
      <c r="M230" s="25">
        <v>22.314</v>
      </c>
      <c r="N230" s="9"/>
      <c r="O230" s="9" t="s">
        <v>26</v>
      </c>
      <c r="P230" s="22">
        <v>11.243</v>
      </c>
      <c r="Q230" s="22">
        <v>19.552900000000001</v>
      </c>
      <c r="R230" s="13"/>
      <c r="S230" s="9"/>
      <c r="T230" s="9" t="s">
        <v>26</v>
      </c>
      <c r="U230" s="9"/>
      <c r="V230" s="22">
        <v>1.1598200000000001</v>
      </c>
      <c r="W230" s="25">
        <v>3.3380000000000001</v>
      </c>
      <c r="X230" s="9"/>
      <c r="Y230" s="9" t="s">
        <v>26</v>
      </c>
      <c r="Z230" s="22">
        <v>2.2233000000000001</v>
      </c>
      <c r="AA230" s="22">
        <v>3.0180699999999998</v>
      </c>
      <c r="AB230" s="25">
        <v>2.6732999999999998</v>
      </c>
      <c r="AC230" s="9"/>
      <c r="AD230" s="9" t="s">
        <v>26</v>
      </c>
      <c r="AE230" s="22">
        <v>0.69449000000000005</v>
      </c>
      <c r="AF230" s="22">
        <v>1.0275300000000001</v>
      </c>
      <c r="AG230" s="13"/>
      <c r="AH230" s="9"/>
      <c r="AI230" s="9" t="s">
        <v>26</v>
      </c>
      <c r="AJ230" s="9"/>
      <c r="AK230" s="22">
        <v>13.617800000000001</v>
      </c>
      <c r="AL230" s="25">
        <v>2.0674999999999999</v>
      </c>
      <c r="AM230" s="9"/>
      <c r="AN230" s="9" t="s">
        <v>26</v>
      </c>
      <c r="AO230" s="22">
        <v>1.5784</v>
      </c>
      <c r="AP230" s="22">
        <v>2.3146</v>
      </c>
      <c r="AQ230" s="25">
        <v>1.2239</v>
      </c>
      <c r="AR230" s="9"/>
      <c r="AS230" s="9" t="s">
        <v>26</v>
      </c>
      <c r="AT230" s="22">
        <v>1.3229</v>
      </c>
      <c r="AU230" s="22">
        <v>2.0331399999999999</v>
      </c>
      <c r="AV230" s="13"/>
      <c r="AW230" s="9"/>
      <c r="AX230" s="9" t="s">
        <v>26</v>
      </c>
      <c r="AY230" s="9"/>
      <c r="AZ230" s="22">
        <v>14.1053</v>
      </c>
      <c r="BA230" s="25">
        <v>0.97094999999999998</v>
      </c>
      <c r="BB230" s="9"/>
      <c r="BC230" s="9" t="s">
        <v>26</v>
      </c>
      <c r="BD230" s="22">
        <v>0.71970000000000001</v>
      </c>
      <c r="BE230" s="22">
        <v>0.77449699999999999</v>
      </c>
      <c r="BF230" s="25">
        <v>5.3768000000000002</v>
      </c>
      <c r="BG230" s="9"/>
      <c r="BH230" s="9" t="s">
        <v>26</v>
      </c>
      <c r="BI230" s="22">
        <v>4.4722</v>
      </c>
      <c r="BJ230" s="23">
        <v>14.7727</v>
      </c>
    </row>
    <row r="231" spans="1:62" ht="15" thickBot="1" x14ac:dyDescent="0.4">
      <c r="A231" s="13" t="s">
        <v>177</v>
      </c>
      <c r="B231" s="13"/>
      <c r="C231" s="13" t="s">
        <v>58</v>
      </c>
      <c r="D231" s="13" t="s">
        <v>65</v>
      </c>
      <c r="E231" s="13">
        <v>6.1778E-2</v>
      </c>
      <c r="F231" s="21">
        <v>44889</v>
      </c>
      <c r="G231" s="13">
        <v>1.0171527777777778</v>
      </c>
      <c r="H231" s="26">
        <v>65.408000000000001</v>
      </c>
      <c r="I231" s="10"/>
      <c r="J231" s="10" t="s">
        <v>26</v>
      </c>
      <c r="K231" s="18">
        <v>4.84</v>
      </c>
      <c r="L231" s="18">
        <v>9.2032399999999992</v>
      </c>
      <c r="M231" s="26">
        <v>33.104999999999997</v>
      </c>
      <c r="N231" s="10"/>
      <c r="O231" s="10" t="s">
        <v>26</v>
      </c>
      <c r="P231" s="18">
        <v>11.007</v>
      </c>
      <c r="Q231" s="18">
        <v>24.0442</v>
      </c>
      <c r="R231" s="11"/>
      <c r="S231" s="10"/>
      <c r="T231" s="10" t="s">
        <v>26</v>
      </c>
      <c r="U231" s="10"/>
      <c r="V231" s="18">
        <v>1.19859</v>
      </c>
      <c r="W231" s="26">
        <v>0.15140000000000001</v>
      </c>
      <c r="X231" s="10"/>
      <c r="Y231" s="10" t="s">
        <v>26</v>
      </c>
      <c r="Z231" s="18">
        <v>0.54427999999999999</v>
      </c>
      <c r="AA231" s="18">
        <v>2.6773699999999998</v>
      </c>
      <c r="AB231" s="26">
        <v>2.0518999999999998</v>
      </c>
      <c r="AC231" s="10"/>
      <c r="AD231" s="10" t="s">
        <v>26</v>
      </c>
      <c r="AE231" s="18">
        <v>0.27022000000000002</v>
      </c>
      <c r="AF231" s="18">
        <v>1.09751</v>
      </c>
      <c r="AG231" s="11"/>
      <c r="AH231" s="10"/>
      <c r="AI231" s="10" t="s">
        <v>26</v>
      </c>
      <c r="AJ231" s="10"/>
      <c r="AK231" s="18">
        <v>14.7453</v>
      </c>
      <c r="AL231" s="26">
        <v>0.44313999999999998</v>
      </c>
      <c r="AM231" s="10"/>
      <c r="AN231" s="10" t="s">
        <v>26</v>
      </c>
      <c r="AO231" s="18">
        <v>1.6217999999999999</v>
      </c>
      <c r="AP231" s="18">
        <v>2.3649399999999998</v>
      </c>
      <c r="AQ231" s="26">
        <v>0.93737999999999999</v>
      </c>
      <c r="AR231" s="10"/>
      <c r="AS231" s="10" t="s">
        <v>26</v>
      </c>
      <c r="AT231" s="18">
        <v>0.46050999999999997</v>
      </c>
      <c r="AU231" s="18">
        <v>2.0544799999999999</v>
      </c>
      <c r="AV231" s="26">
        <v>3.3129</v>
      </c>
      <c r="AW231" s="10"/>
      <c r="AX231" s="10" t="s">
        <v>26</v>
      </c>
      <c r="AY231" s="18">
        <v>4.4257999999999997</v>
      </c>
      <c r="AZ231" s="18">
        <v>13.3508</v>
      </c>
      <c r="BA231" s="26">
        <v>0.91359999999999997</v>
      </c>
      <c r="BB231" s="10"/>
      <c r="BC231" s="10" t="s">
        <v>26</v>
      </c>
      <c r="BD231" s="18">
        <v>0.77869999999999995</v>
      </c>
      <c r="BE231" s="18">
        <v>0.80976199999999998</v>
      </c>
      <c r="BF231" s="26">
        <v>9.9981000000000009</v>
      </c>
      <c r="BG231" s="10"/>
      <c r="BH231" s="10" t="s">
        <v>26</v>
      </c>
      <c r="BI231" s="18">
        <v>4.4093999999999998</v>
      </c>
      <c r="BJ231" s="19">
        <v>17.623100000000001</v>
      </c>
    </row>
    <row r="232" spans="1:62" ht="15" thickBot="1" x14ac:dyDescent="0.4">
      <c r="A232" s="10" t="s">
        <v>178</v>
      </c>
      <c r="B232" s="10"/>
      <c r="C232" s="11" t="s">
        <v>58</v>
      </c>
      <c r="D232" s="11" t="s">
        <v>65</v>
      </c>
      <c r="E232" s="11">
        <v>6.8487999999999993E-2</v>
      </c>
      <c r="F232" s="20">
        <v>44888</v>
      </c>
      <c r="G232" s="11">
        <v>1.0555324074074075</v>
      </c>
      <c r="H232" s="28">
        <v>81.641999999999996</v>
      </c>
      <c r="I232" s="15"/>
      <c r="J232" s="15" t="s">
        <v>26</v>
      </c>
      <c r="K232" s="16">
        <v>5.4859999999999998</v>
      </c>
      <c r="L232" s="16">
        <v>8.2226800000000004</v>
      </c>
      <c r="M232" s="28">
        <v>21.129000000000001</v>
      </c>
      <c r="N232" s="15"/>
      <c r="O232" s="15" t="s">
        <v>26</v>
      </c>
      <c r="P232" s="16">
        <v>12.255000000000001</v>
      </c>
      <c r="Q232" s="16">
        <v>42.377200000000002</v>
      </c>
      <c r="R232" s="14"/>
      <c r="S232" s="15"/>
      <c r="T232" s="15" t="s">
        <v>26</v>
      </c>
      <c r="U232" s="15"/>
      <c r="V232" s="16">
        <v>1.05745</v>
      </c>
      <c r="W232" s="28">
        <v>2.2363</v>
      </c>
      <c r="X232" s="15"/>
      <c r="Y232" s="15" t="s">
        <v>26</v>
      </c>
      <c r="Z232" s="16">
        <v>0.54510999999999998</v>
      </c>
      <c r="AA232" s="16">
        <v>2.7748499999999998</v>
      </c>
      <c r="AB232" s="28">
        <v>2.2452000000000001</v>
      </c>
      <c r="AC232" s="15"/>
      <c r="AD232" s="15" t="s">
        <v>26</v>
      </c>
      <c r="AE232" s="16">
        <v>0.25294</v>
      </c>
      <c r="AF232" s="16">
        <v>1.0028300000000001</v>
      </c>
      <c r="AG232" s="14"/>
      <c r="AH232" s="15"/>
      <c r="AI232" s="15" t="s">
        <v>26</v>
      </c>
      <c r="AJ232" s="15"/>
      <c r="AK232" s="16">
        <v>13.5625</v>
      </c>
      <c r="AL232" s="28">
        <v>0.75238000000000005</v>
      </c>
      <c r="AM232" s="15"/>
      <c r="AN232" s="15" t="s">
        <v>26</v>
      </c>
      <c r="AO232" s="16">
        <v>0.4672</v>
      </c>
      <c r="AP232" s="16">
        <v>2.0867800000000001</v>
      </c>
      <c r="AQ232" s="28">
        <v>0.39285999999999999</v>
      </c>
      <c r="AR232" s="15"/>
      <c r="AS232" s="15" t="s">
        <v>26</v>
      </c>
      <c r="AT232" s="16">
        <v>0.41066000000000003</v>
      </c>
      <c r="AU232" s="16">
        <v>1.8226199999999999</v>
      </c>
      <c r="AV232" s="28">
        <v>2.3612000000000002</v>
      </c>
      <c r="AW232" s="15"/>
      <c r="AX232" s="15" t="s">
        <v>26</v>
      </c>
      <c r="AY232" s="16">
        <v>4.9040999999999997</v>
      </c>
      <c r="AZ232" s="16">
        <v>14.0052</v>
      </c>
      <c r="BA232" s="28">
        <v>0.84302999999999995</v>
      </c>
      <c r="BB232" s="15"/>
      <c r="BC232" s="15" t="s">
        <v>26</v>
      </c>
      <c r="BD232" s="16">
        <v>0.18071999999999999</v>
      </c>
      <c r="BE232" s="16">
        <v>0.88769900000000002</v>
      </c>
      <c r="BF232" s="28">
        <v>10.6</v>
      </c>
      <c r="BG232" s="15"/>
      <c r="BH232" s="15" t="s">
        <v>26</v>
      </c>
      <c r="BI232" s="16">
        <v>4.1955</v>
      </c>
      <c r="BJ232" s="17">
        <v>9.0487599999999997</v>
      </c>
    </row>
    <row r="233" spans="1:62" ht="15" thickBot="1" x14ac:dyDescent="0.4"/>
    <row r="234" spans="1:62" ht="15" thickBot="1" x14ac:dyDescent="0.4">
      <c r="H234" s="13" t="s">
        <v>18</v>
      </c>
      <c r="I234" s="9" t="s">
        <v>24</v>
      </c>
      <c r="J234" s="9"/>
      <c r="K234" s="9"/>
      <c r="L234" s="9"/>
      <c r="M234" s="13" t="s">
        <v>1</v>
      </c>
      <c r="N234" s="9" t="s">
        <v>23</v>
      </c>
      <c r="O234" s="9"/>
      <c r="P234" s="9"/>
      <c r="Q234" s="9"/>
      <c r="R234" s="13" t="s">
        <v>2</v>
      </c>
      <c r="S234" s="9" t="s">
        <v>41</v>
      </c>
      <c r="T234" s="9"/>
      <c r="U234" s="9"/>
      <c r="V234" s="9"/>
      <c r="W234" s="13" t="s">
        <v>7</v>
      </c>
      <c r="X234" s="9" t="s">
        <v>50</v>
      </c>
      <c r="Y234" s="9"/>
      <c r="Z234" s="9"/>
      <c r="AA234" s="9"/>
      <c r="AB234" s="13" t="s">
        <v>16</v>
      </c>
      <c r="AC234" s="9" t="s">
        <v>51</v>
      </c>
      <c r="AD234" s="9"/>
      <c r="AE234" s="9"/>
      <c r="AF234" s="9"/>
      <c r="AG234" s="13" t="s">
        <v>17</v>
      </c>
      <c r="AH234" s="9" t="s">
        <v>52</v>
      </c>
      <c r="AI234" s="9"/>
      <c r="AJ234" s="9"/>
      <c r="AK234" s="9"/>
      <c r="AL234" s="13" t="s">
        <v>19</v>
      </c>
      <c r="AM234" s="9" t="s">
        <v>53</v>
      </c>
      <c r="AN234" s="9"/>
      <c r="AO234" s="9"/>
      <c r="AP234" s="9"/>
      <c r="AQ234" s="13" t="s">
        <v>21</v>
      </c>
      <c r="AR234" s="9" t="s">
        <v>54</v>
      </c>
      <c r="AS234" s="9"/>
      <c r="AT234" s="9"/>
      <c r="AU234" s="9"/>
      <c r="AV234" s="13" t="s">
        <v>56</v>
      </c>
      <c r="AW234" s="9" t="s">
        <v>57</v>
      </c>
      <c r="AX234" s="9"/>
      <c r="AY234" s="9"/>
      <c r="AZ234" s="9"/>
      <c r="BA234" s="13" t="s">
        <v>60</v>
      </c>
      <c r="BB234" s="9" t="s">
        <v>61</v>
      </c>
      <c r="BC234" s="9"/>
      <c r="BD234" s="9"/>
      <c r="BE234" s="9"/>
      <c r="BF234" s="13" t="s">
        <v>62</v>
      </c>
      <c r="BG234" s="9" t="s">
        <v>63</v>
      </c>
      <c r="BH234" s="9"/>
      <c r="BI234" s="9"/>
      <c r="BJ234" s="12"/>
    </row>
    <row r="235" spans="1:62" ht="15" thickBot="1" x14ac:dyDescent="0.4">
      <c r="A235" s="13" t="s">
        <v>30</v>
      </c>
      <c r="B235" s="13"/>
      <c r="C235" s="13" t="s">
        <v>29</v>
      </c>
      <c r="D235" s="13" t="s">
        <v>31</v>
      </c>
      <c r="E235" s="13" t="s">
        <v>43</v>
      </c>
      <c r="F235" s="13" t="s">
        <v>25</v>
      </c>
      <c r="G235" s="13" t="s">
        <v>28</v>
      </c>
      <c r="H235" s="13" t="s">
        <v>44</v>
      </c>
      <c r="I235" s="9" t="s">
        <v>45</v>
      </c>
      <c r="J235" s="9"/>
      <c r="K235" s="9" t="s">
        <v>46</v>
      </c>
      <c r="L235" s="9" t="s">
        <v>47</v>
      </c>
      <c r="M235" s="13" t="s">
        <v>44</v>
      </c>
      <c r="N235" s="9" t="s">
        <v>45</v>
      </c>
      <c r="O235" s="9"/>
      <c r="P235" s="9" t="s">
        <v>46</v>
      </c>
      <c r="Q235" s="9" t="s">
        <v>47</v>
      </c>
      <c r="R235" s="13" t="s">
        <v>44</v>
      </c>
      <c r="S235" s="9" t="s">
        <v>45</v>
      </c>
      <c r="T235" s="9"/>
      <c r="U235" s="9" t="s">
        <v>46</v>
      </c>
      <c r="V235" s="9" t="s">
        <v>47</v>
      </c>
      <c r="W235" s="13" t="s">
        <v>44</v>
      </c>
      <c r="X235" s="9" t="s">
        <v>45</v>
      </c>
      <c r="Y235" s="9"/>
      <c r="Z235" s="9" t="s">
        <v>46</v>
      </c>
      <c r="AA235" s="9" t="s">
        <v>47</v>
      </c>
      <c r="AB235" s="13" t="s">
        <v>44</v>
      </c>
      <c r="AC235" s="9" t="s">
        <v>45</v>
      </c>
      <c r="AD235" s="9"/>
      <c r="AE235" s="9" t="s">
        <v>46</v>
      </c>
      <c r="AF235" s="9" t="s">
        <v>47</v>
      </c>
      <c r="AG235" s="13" t="s">
        <v>44</v>
      </c>
      <c r="AH235" s="9" t="s">
        <v>45</v>
      </c>
      <c r="AI235" s="9"/>
      <c r="AJ235" s="9" t="s">
        <v>46</v>
      </c>
      <c r="AK235" s="9" t="s">
        <v>47</v>
      </c>
      <c r="AL235" s="13" t="s">
        <v>44</v>
      </c>
      <c r="AM235" s="9" t="s">
        <v>45</v>
      </c>
      <c r="AN235" s="9"/>
      <c r="AO235" s="9" t="s">
        <v>46</v>
      </c>
      <c r="AP235" s="9" t="s">
        <v>47</v>
      </c>
      <c r="AQ235" s="13" t="s">
        <v>44</v>
      </c>
      <c r="AR235" s="9" t="s">
        <v>45</v>
      </c>
      <c r="AS235" s="9"/>
      <c r="AT235" s="9" t="s">
        <v>46</v>
      </c>
      <c r="AU235" s="9" t="s">
        <v>47</v>
      </c>
      <c r="AV235" s="13" t="s">
        <v>44</v>
      </c>
      <c r="AW235" s="9" t="s">
        <v>45</v>
      </c>
      <c r="AX235" s="9"/>
      <c r="AY235" s="9" t="s">
        <v>46</v>
      </c>
      <c r="AZ235" s="9" t="s">
        <v>47</v>
      </c>
      <c r="BA235" s="13" t="s">
        <v>44</v>
      </c>
      <c r="BB235" s="9" t="s">
        <v>45</v>
      </c>
      <c r="BC235" s="9"/>
      <c r="BD235" s="9" t="s">
        <v>46</v>
      </c>
      <c r="BE235" s="9" t="s">
        <v>47</v>
      </c>
      <c r="BF235" s="13" t="s">
        <v>44</v>
      </c>
      <c r="BG235" s="9" t="s">
        <v>45</v>
      </c>
      <c r="BH235" s="9"/>
      <c r="BI235" s="9" t="s">
        <v>46</v>
      </c>
      <c r="BJ235" s="12" t="s">
        <v>47</v>
      </c>
    </row>
    <row r="236" spans="1:62" ht="15" thickBot="1" x14ac:dyDescent="0.4">
      <c r="A236" s="13" t="s">
        <v>116</v>
      </c>
      <c r="B236" s="13"/>
      <c r="C236" s="13" t="s">
        <v>152</v>
      </c>
      <c r="D236" s="13" t="s">
        <v>153</v>
      </c>
      <c r="E236" s="25">
        <v>5.6631000000000001E-2</v>
      </c>
      <c r="F236" s="21">
        <v>44876</v>
      </c>
      <c r="G236" s="13">
        <v>2.6114236111111109</v>
      </c>
      <c r="H236" s="25">
        <v>45.811999999999998</v>
      </c>
      <c r="I236" s="9"/>
      <c r="J236" s="9" t="s">
        <v>26</v>
      </c>
      <c r="K236" s="22">
        <v>9.9467999999999996</v>
      </c>
      <c r="L236" s="9">
        <v>1.4450000000000001</v>
      </c>
      <c r="M236" s="25">
        <v>49.936999999999998</v>
      </c>
      <c r="N236" s="9"/>
      <c r="O236" s="9" t="s">
        <v>26</v>
      </c>
      <c r="P236" s="22">
        <v>2.3105000000000002</v>
      </c>
      <c r="Q236" s="9">
        <v>1.4610000000000001</v>
      </c>
      <c r="R236" s="13"/>
      <c r="S236" s="9"/>
      <c r="T236" s="9"/>
      <c r="U236" s="9" t="s">
        <v>49</v>
      </c>
      <c r="V236" s="22">
        <v>8.0780000000000005E-2</v>
      </c>
      <c r="W236" s="25">
        <v>3.7374000000000001</v>
      </c>
      <c r="X236" s="9"/>
      <c r="Y236" s="9" t="s">
        <v>26</v>
      </c>
      <c r="Z236" s="22">
        <v>0.63073999999999997</v>
      </c>
      <c r="AA236" s="9">
        <v>0.49740000000000001</v>
      </c>
      <c r="AB236" s="25">
        <v>2.4849000000000001</v>
      </c>
      <c r="AC236" s="9"/>
      <c r="AD236" s="9" t="s">
        <v>26</v>
      </c>
      <c r="AE236" s="22">
        <v>0.19825999999999999</v>
      </c>
      <c r="AF236" s="9">
        <v>0.17699999999999999</v>
      </c>
      <c r="AG236" s="25">
        <v>5.6677</v>
      </c>
      <c r="AH236" s="9"/>
      <c r="AI236" s="9" t="s">
        <v>26</v>
      </c>
      <c r="AJ236" s="22">
        <v>1.7234</v>
      </c>
      <c r="AK236" s="9">
        <v>1.5780000000000001</v>
      </c>
      <c r="AL236" s="25">
        <v>11.067</v>
      </c>
      <c r="AM236" s="9"/>
      <c r="AN236" s="9" t="s">
        <v>26</v>
      </c>
      <c r="AO236" s="22">
        <v>0.61189000000000004</v>
      </c>
      <c r="AP236" s="9">
        <v>0.37140000000000001</v>
      </c>
      <c r="AQ236" s="25">
        <v>9.2043999999999997</v>
      </c>
      <c r="AR236" s="9"/>
      <c r="AS236" s="9" t="s">
        <v>26</v>
      </c>
      <c r="AT236" s="22">
        <v>0.50153999999999999</v>
      </c>
      <c r="AU236" s="9">
        <v>0.31590000000000001</v>
      </c>
      <c r="AV236" s="25">
        <v>7.2698</v>
      </c>
      <c r="AW236" s="9"/>
      <c r="AX236" s="9" t="s">
        <v>26</v>
      </c>
      <c r="AY236" s="22">
        <v>2.8597000000000001</v>
      </c>
      <c r="AZ236" s="9">
        <v>2.3420000000000001</v>
      </c>
      <c r="BA236" s="25">
        <v>1.1113</v>
      </c>
      <c r="BB236" s="9"/>
      <c r="BC236" s="9" t="s">
        <v>26</v>
      </c>
      <c r="BD236" s="22">
        <v>0.13844999999999999</v>
      </c>
      <c r="BE236" s="9">
        <v>0.13769999999999999</v>
      </c>
      <c r="BF236" s="25">
        <v>14.225</v>
      </c>
      <c r="BG236" s="9"/>
      <c r="BH236" s="9" t="s">
        <v>26</v>
      </c>
      <c r="BI236" s="22">
        <v>1.3580000000000001</v>
      </c>
      <c r="BJ236" s="12">
        <v>1.383</v>
      </c>
    </row>
    <row r="237" spans="1:62" ht="15" thickBot="1" x14ac:dyDescent="0.4">
      <c r="A237" s="13" t="s">
        <v>117</v>
      </c>
      <c r="B237" s="13"/>
      <c r="C237" s="13" t="s">
        <v>152</v>
      </c>
      <c r="D237" s="13" t="s">
        <v>153</v>
      </c>
      <c r="E237" s="25">
        <v>6.1191000000000002E-2</v>
      </c>
      <c r="F237" s="21">
        <v>44879</v>
      </c>
      <c r="G237" s="13">
        <v>0.96670138888888879</v>
      </c>
      <c r="H237" s="25">
        <v>54.218000000000004</v>
      </c>
      <c r="I237" s="9"/>
      <c r="J237" s="9" t="s">
        <v>26</v>
      </c>
      <c r="K237" s="22">
        <v>11.986000000000001</v>
      </c>
      <c r="L237" s="9">
        <v>2.1160000000000001</v>
      </c>
      <c r="M237" s="25">
        <v>32.173999999999999</v>
      </c>
      <c r="N237" s="9"/>
      <c r="O237" s="9" t="s">
        <v>26</v>
      </c>
      <c r="P237" s="22">
        <v>2.3761000000000001</v>
      </c>
      <c r="Q237" s="9">
        <v>2.0920000000000001</v>
      </c>
      <c r="R237" s="13"/>
      <c r="S237" s="9"/>
      <c r="T237" s="9"/>
      <c r="U237" s="9" t="s">
        <v>49</v>
      </c>
      <c r="V237" s="22">
        <v>0.12088</v>
      </c>
      <c r="W237" s="25">
        <v>4.9779</v>
      </c>
      <c r="X237" s="9"/>
      <c r="Y237" s="9" t="s">
        <v>26</v>
      </c>
      <c r="Z237" s="22">
        <v>0.82899999999999996</v>
      </c>
      <c r="AA237" s="9">
        <v>0.66210000000000002</v>
      </c>
      <c r="AB237" s="25">
        <v>3.3079999999999998</v>
      </c>
      <c r="AC237" s="9"/>
      <c r="AD237" s="9" t="s">
        <v>26</v>
      </c>
      <c r="AE237" s="22">
        <v>0.31577</v>
      </c>
      <c r="AF237" s="9">
        <v>0.2893</v>
      </c>
      <c r="AG237" s="25">
        <v>9.3323999999999998</v>
      </c>
      <c r="AH237" s="9"/>
      <c r="AI237" s="9" t="s">
        <v>26</v>
      </c>
      <c r="AJ237" s="22">
        <v>2.4937999999999998</v>
      </c>
      <c r="AK237" s="9">
        <v>2.2450000000000001</v>
      </c>
      <c r="AL237" s="25">
        <v>10.804</v>
      </c>
      <c r="AM237" s="9"/>
      <c r="AN237" s="9" t="s">
        <v>26</v>
      </c>
      <c r="AO237" s="22">
        <v>0.75727</v>
      </c>
      <c r="AP237" s="9">
        <v>0.48880000000000001</v>
      </c>
      <c r="AQ237" s="25">
        <v>7.5218999999999996</v>
      </c>
      <c r="AR237" s="9"/>
      <c r="AS237" s="9" t="s">
        <v>26</v>
      </c>
      <c r="AT237" s="22">
        <v>0.72950000000000004</v>
      </c>
      <c r="AU237" s="9">
        <v>0.52029999999999998</v>
      </c>
      <c r="AV237" s="13"/>
      <c r="AW237" s="9"/>
      <c r="AX237" s="9"/>
      <c r="AY237" s="9" t="s">
        <v>49</v>
      </c>
      <c r="AZ237" s="22">
        <v>3.8628999999999998</v>
      </c>
      <c r="BA237" s="25">
        <v>1.7363999999999999</v>
      </c>
      <c r="BB237" s="9"/>
      <c r="BC237" s="9" t="s">
        <v>26</v>
      </c>
      <c r="BD237" s="22">
        <v>0.26168999999999998</v>
      </c>
      <c r="BE237" s="9">
        <v>0.2137</v>
      </c>
      <c r="BF237" s="25">
        <v>14.617000000000001</v>
      </c>
      <c r="BG237" s="9"/>
      <c r="BH237" s="9" t="s">
        <v>26</v>
      </c>
      <c r="BI237" s="22">
        <v>2.2082000000000002</v>
      </c>
      <c r="BJ237" s="12">
        <v>2.032</v>
      </c>
    </row>
    <row r="238" spans="1:62" ht="15" thickBot="1" x14ac:dyDescent="0.4">
      <c r="A238" s="13" t="s">
        <v>179</v>
      </c>
      <c r="B238" s="13"/>
      <c r="C238" s="13" t="s">
        <v>152</v>
      </c>
      <c r="D238" s="13" t="s">
        <v>153</v>
      </c>
      <c r="E238" s="25">
        <v>6.4815999999999999E-2</v>
      </c>
      <c r="F238" s="21">
        <v>44880</v>
      </c>
      <c r="G238" s="13">
        <v>1.0084143518518518</v>
      </c>
      <c r="H238" s="25">
        <v>147.99</v>
      </c>
      <c r="I238" s="9"/>
      <c r="J238" s="9" t="s">
        <v>26</v>
      </c>
      <c r="K238" s="22">
        <v>31.637</v>
      </c>
      <c r="L238" s="9">
        <v>1.885</v>
      </c>
      <c r="M238" s="25">
        <v>28.256</v>
      </c>
      <c r="N238" s="9"/>
      <c r="O238" s="9" t="s">
        <v>26</v>
      </c>
      <c r="P238" s="22">
        <v>2.8001</v>
      </c>
      <c r="Q238" s="9">
        <v>2.2370000000000001</v>
      </c>
      <c r="R238" s="13"/>
      <c r="S238" s="9"/>
      <c r="T238" s="9"/>
      <c r="U238" s="9" t="s">
        <v>49</v>
      </c>
      <c r="V238" s="22">
        <v>0.11799999999999999</v>
      </c>
      <c r="W238" s="25">
        <v>6.3540999999999999</v>
      </c>
      <c r="X238" s="9"/>
      <c r="Y238" s="9" t="s">
        <v>26</v>
      </c>
      <c r="Z238" s="22">
        <v>0.97758</v>
      </c>
      <c r="AA238" s="9">
        <v>0.73270000000000002</v>
      </c>
      <c r="AB238" s="25">
        <v>4.3787000000000003</v>
      </c>
      <c r="AC238" s="9"/>
      <c r="AD238" s="9" t="s">
        <v>26</v>
      </c>
      <c r="AE238" s="22">
        <v>0.32916000000000001</v>
      </c>
      <c r="AF238" s="9">
        <v>0.26769999999999999</v>
      </c>
      <c r="AG238" s="25">
        <v>5.88</v>
      </c>
      <c r="AH238" s="9"/>
      <c r="AI238" s="9" t="s">
        <v>26</v>
      </c>
      <c r="AJ238" s="22">
        <v>2.5017</v>
      </c>
      <c r="AK238" s="9">
        <v>2.2770000000000001</v>
      </c>
      <c r="AL238" s="25">
        <v>9.9565999999999999</v>
      </c>
      <c r="AM238" s="9"/>
      <c r="AN238" s="9" t="s">
        <v>26</v>
      </c>
      <c r="AO238" s="22">
        <v>0.67586000000000002</v>
      </c>
      <c r="AP238" s="9">
        <v>0.45610000000000001</v>
      </c>
      <c r="AQ238" s="25">
        <v>8.4238999999999997</v>
      </c>
      <c r="AR238" s="9"/>
      <c r="AS238" s="9" t="s">
        <v>26</v>
      </c>
      <c r="AT238" s="22">
        <v>0.51558999999999999</v>
      </c>
      <c r="AU238" s="9">
        <v>0.35799999999999998</v>
      </c>
      <c r="AV238" s="25">
        <v>5.9808000000000003</v>
      </c>
      <c r="AW238" s="9"/>
      <c r="AX238" s="9" t="s">
        <v>26</v>
      </c>
      <c r="AY238" s="22">
        <v>4.2398999999999996</v>
      </c>
      <c r="AZ238" s="9">
        <v>3.5419999999999998</v>
      </c>
      <c r="BA238" s="25">
        <v>2.0661</v>
      </c>
      <c r="BB238" s="9"/>
      <c r="BC238" s="9" t="s">
        <v>26</v>
      </c>
      <c r="BD238" s="22">
        <v>0.29121999999999998</v>
      </c>
      <c r="BE238" s="9">
        <v>0.22509999999999999</v>
      </c>
      <c r="BF238" s="25">
        <v>12.494999999999999</v>
      </c>
      <c r="BG238" s="9"/>
      <c r="BH238" s="9" t="s">
        <v>26</v>
      </c>
      <c r="BI238" s="22">
        <v>1.8613</v>
      </c>
      <c r="BJ238" s="12">
        <v>1.9530000000000001</v>
      </c>
    </row>
    <row r="239" spans="1:62" ht="15" thickBot="1" x14ac:dyDescent="0.4">
      <c r="A239" s="13" t="s">
        <v>180</v>
      </c>
      <c r="B239" s="13"/>
      <c r="C239" s="13" t="s">
        <v>152</v>
      </c>
      <c r="D239" s="13" t="s">
        <v>153</v>
      </c>
      <c r="E239" s="25">
        <v>6.9772000000000001E-2</v>
      </c>
      <c r="F239" s="21">
        <v>44881</v>
      </c>
      <c r="G239" s="13">
        <v>0.95846064814814813</v>
      </c>
      <c r="H239" s="25">
        <v>177.1</v>
      </c>
      <c r="I239" s="9"/>
      <c r="J239" s="9" t="s">
        <v>26</v>
      </c>
      <c r="K239" s="22">
        <v>37.787999999999997</v>
      </c>
      <c r="L239" s="9">
        <v>2.0049999999999999</v>
      </c>
      <c r="M239" s="25">
        <v>24.079000000000001</v>
      </c>
      <c r="N239" s="9"/>
      <c r="O239" s="9" t="s">
        <v>26</v>
      </c>
      <c r="P239" s="22">
        <v>2.5992999999999999</v>
      </c>
      <c r="Q239" s="9">
        <v>2.1760000000000002</v>
      </c>
      <c r="R239" s="25">
        <v>0.1525</v>
      </c>
      <c r="S239" s="9"/>
      <c r="T239" s="9" t="s">
        <v>26</v>
      </c>
      <c r="U239" s="22">
        <v>0.12712999999999999</v>
      </c>
      <c r="V239" s="9">
        <v>0.1391</v>
      </c>
      <c r="W239" s="25">
        <v>4.5936000000000003</v>
      </c>
      <c r="X239" s="9"/>
      <c r="Y239" s="9" t="s">
        <v>26</v>
      </c>
      <c r="Z239" s="22">
        <v>0.75212999999999997</v>
      </c>
      <c r="AA239" s="9">
        <v>0.60799999999999998</v>
      </c>
      <c r="AB239" s="25">
        <v>3.9990999999999999</v>
      </c>
      <c r="AC239" s="9"/>
      <c r="AD239" s="9" t="s">
        <v>26</v>
      </c>
      <c r="AE239" s="22">
        <v>0.31197999999999998</v>
      </c>
      <c r="AF239" s="9">
        <v>0.25940000000000002</v>
      </c>
      <c r="AG239" s="25">
        <v>7.4105999999999996</v>
      </c>
      <c r="AH239" s="9"/>
      <c r="AI239" s="9" t="s">
        <v>26</v>
      </c>
      <c r="AJ239" s="22">
        <v>2.1223000000000001</v>
      </c>
      <c r="AK239" s="9">
        <v>1.9470000000000001</v>
      </c>
      <c r="AL239" s="25">
        <v>9.7414000000000005</v>
      </c>
      <c r="AM239" s="9"/>
      <c r="AN239" s="9" t="s">
        <v>26</v>
      </c>
      <c r="AO239" s="22">
        <v>0.63632</v>
      </c>
      <c r="AP239" s="9">
        <v>0.41489999999999999</v>
      </c>
      <c r="AQ239" s="25">
        <v>8.2844999999999995</v>
      </c>
      <c r="AR239" s="9"/>
      <c r="AS239" s="9" t="s">
        <v>26</v>
      </c>
      <c r="AT239" s="22">
        <v>0.48887000000000003</v>
      </c>
      <c r="AU239" s="9">
        <v>0.32669999999999999</v>
      </c>
      <c r="AV239" s="25">
        <v>4.2611999999999997</v>
      </c>
      <c r="AW239" s="9"/>
      <c r="AX239" s="9" t="s">
        <v>26</v>
      </c>
      <c r="AY239" s="22">
        <v>3.4357000000000002</v>
      </c>
      <c r="AZ239" s="9">
        <v>2.778</v>
      </c>
      <c r="BA239" s="25">
        <v>2.0697999999999999</v>
      </c>
      <c r="BB239" s="9"/>
      <c r="BC239" s="9" t="s">
        <v>26</v>
      </c>
      <c r="BD239" s="22">
        <v>0.27787000000000001</v>
      </c>
      <c r="BE239" s="9">
        <v>0.21479999999999999</v>
      </c>
      <c r="BF239" s="25">
        <v>8.2355</v>
      </c>
      <c r="BG239" s="9"/>
      <c r="BH239" s="9" t="s">
        <v>26</v>
      </c>
      <c r="BI239" s="22">
        <v>2.6135000000000002</v>
      </c>
      <c r="BJ239" s="12">
        <v>2.3290000000000002</v>
      </c>
    </row>
    <row r="240" spans="1:62" ht="15" thickBot="1" x14ac:dyDescent="0.4">
      <c r="A240" s="13" t="s">
        <v>181</v>
      </c>
      <c r="B240" s="13"/>
      <c r="C240" s="13" t="s">
        <v>152</v>
      </c>
      <c r="D240" s="13" t="s">
        <v>153</v>
      </c>
      <c r="E240" s="25">
        <v>6.8000000000000005E-2</v>
      </c>
      <c r="F240" s="21">
        <v>44882</v>
      </c>
      <c r="G240" s="13">
        <v>0.96307870370370363</v>
      </c>
      <c r="H240" s="25">
        <v>179.7</v>
      </c>
      <c r="I240" s="9"/>
      <c r="J240" s="9" t="s">
        <v>26</v>
      </c>
      <c r="K240" s="22">
        <v>44.351999999999997</v>
      </c>
      <c r="L240" s="9">
        <v>6.202</v>
      </c>
      <c r="M240" s="25">
        <v>23.305</v>
      </c>
      <c r="N240" s="9"/>
      <c r="O240" s="9" t="s">
        <v>26</v>
      </c>
      <c r="P240" s="22">
        <v>2.9245000000000001</v>
      </c>
      <c r="Q240" s="9">
        <v>2.391</v>
      </c>
      <c r="R240" s="25">
        <v>0.32999000000000001</v>
      </c>
      <c r="S240" s="9"/>
      <c r="T240" s="9" t="s">
        <v>26</v>
      </c>
      <c r="U240" s="22">
        <v>0.17061999999999999</v>
      </c>
      <c r="V240" s="9">
        <v>0.16930000000000001</v>
      </c>
      <c r="W240" s="25">
        <v>5.9973000000000001</v>
      </c>
      <c r="X240" s="9"/>
      <c r="Y240" s="9" t="s">
        <v>26</v>
      </c>
      <c r="Z240" s="22">
        <v>0.91857</v>
      </c>
      <c r="AA240" s="9">
        <v>0.70179999999999998</v>
      </c>
      <c r="AB240" s="25">
        <v>4.6845999999999997</v>
      </c>
      <c r="AC240" s="9"/>
      <c r="AD240" s="9" t="s">
        <v>26</v>
      </c>
      <c r="AE240" s="22">
        <v>0.33127000000000001</v>
      </c>
      <c r="AF240" s="9">
        <v>0.25519999999999998</v>
      </c>
      <c r="AG240" s="25">
        <v>8.1592000000000002</v>
      </c>
      <c r="AH240" s="9"/>
      <c r="AI240" s="9" t="s">
        <v>26</v>
      </c>
      <c r="AJ240" s="22">
        <v>2.1654</v>
      </c>
      <c r="AK240" s="9">
        <v>2.0019999999999998</v>
      </c>
      <c r="AL240" s="25">
        <v>8.4533000000000005</v>
      </c>
      <c r="AM240" s="9"/>
      <c r="AN240" s="9" t="s">
        <v>26</v>
      </c>
      <c r="AO240" s="22">
        <v>0.79561999999999999</v>
      </c>
      <c r="AP240" s="9">
        <v>0.54669999999999996</v>
      </c>
      <c r="AQ240" s="25">
        <v>7.7794999999999996</v>
      </c>
      <c r="AR240" s="9"/>
      <c r="AS240" s="9" t="s">
        <v>26</v>
      </c>
      <c r="AT240" s="22">
        <v>0.62456999999999996</v>
      </c>
      <c r="AU240" s="9">
        <v>0.44019999999999998</v>
      </c>
      <c r="AV240" s="25">
        <v>10.113</v>
      </c>
      <c r="AW240" s="9"/>
      <c r="AX240" s="9" t="s">
        <v>26</v>
      </c>
      <c r="AY240" s="22">
        <v>4.125</v>
      </c>
      <c r="AZ240" s="9">
        <v>3.3180000000000001</v>
      </c>
      <c r="BA240" s="25">
        <v>2.5011000000000001</v>
      </c>
      <c r="BB240" s="9"/>
      <c r="BC240" s="9" t="s">
        <v>26</v>
      </c>
      <c r="BD240" s="22">
        <v>0.28976000000000002</v>
      </c>
      <c r="BE240" s="9">
        <v>0.21149999999999999</v>
      </c>
      <c r="BF240" s="25">
        <v>5.6548999999999996</v>
      </c>
      <c r="BG240" s="9"/>
      <c r="BH240" s="9" t="s">
        <v>26</v>
      </c>
      <c r="BI240" s="22">
        <v>1.7064999999999999</v>
      </c>
      <c r="BJ240" s="12">
        <v>1.8009999999999999</v>
      </c>
    </row>
    <row r="241" spans="1:62" ht="15" thickBot="1" x14ac:dyDescent="0.4">
      <c r="A241" s="13" t="s">
        <v>181</v>
      </c>
      <c r="B241" s="13"/>
      <c r="C241" s="13" t="s">
        <v>152</v>
      </c>
      <c r="D241" s="13" t="s">
        <v>153</v>
      </c>
      <c r="E241" s="25">
        <v>6.8000000000000005E-2</v>
      </c>
      <c r="F241" s="21">
        <v>44882</v>
      </c>
      <c r="G241" s="13">
        <v>0.96307870370370363</v>
      </c>
      <c r="H241" s="25">
        <v>44.957999999999998</v>
      </c>
      <c r="I241" s="9"/>
      <c r="J241" s="9" t="s">
        <v>26</v>
      </c>
      <c r="K241" s="22">
        <v>11.097</v>
      </c>
      <c r="L241" s="9">
        <v>6.202</v>
      </c>
      <c r="M241" s="25">
        <v>23.305</v>
      </c>
      <c r="N241" s="9"/>
      <c r="O241" s="9" t="s">
        <v>26</v>
      </c>
      <c r="P241" s="22">
        <v>2.9245000000000001</v>
      </c>
      <c r="Q241" s="9">
        <v>2.391</v>
      </c>
      <c r="R241" s="25">
        <v>0.32999000000000001</v>
      </c>
      <c r="S241" s="9"/>
      <c r="T241" s="9" t="s">
        <v>26</v>
      </c>
      <c r="U241" s="22">
        <v>0.17061999999999999</v>
      </c>
      <c r="V241" s="9">
        <v>0.16930000000000001</v>
      </c>
      <c r="W241" s="25">
        <v>5.9973000000000001</v>
      </c>
      <c r="X241" s="9"/>
      <c r="Y241" s="9" t="s">
        <v>26</v>
      </c>
      <c r="Z241" s="22">
        <v>0.91857</v>
      </c>
      <c r="AA241" s="9">
        <v>0.70179999999999998</v>
      </c>
      <c r="AB241" s="25">
        <v>4.6845999999999997</v>
      </c>
      <c r="AC241" s="9"/>
      <c r="AD241" s="9" t="s">
        <v>26</v>
      </c>
      <c r="AE241" s="22">
        <v>0.33127000000000001</v>
      </c>
      <c r="AF241" s="9">
        <v>0.25519999999999998</v>
      </c>
      <c r="AG241" s="25">
        <v>8.1592000000000002</v>
      </c>
      <c r="AH241" s="9"/>
      <c r="AI241" s="9" t="s">
        <v>26</v>
      </c>
      <c r="AJ241" s="22">
        <v>2.1654</v>
      </c>
      <c r="AK241" s="9">
        <v>2.0019999999999998</v>
      </c>
      <c r="AL241" s="25">
        <v>8.4533000000000005</v>
      </c>
      <c r="AM241" s="9"/>
      <c r="AN241" s="9" t="s">
        <v>26</v>
      </c>
      <c r="AO241" s="22">
        <v>0.79561999999999999</v>
      </c>
      <c r="AP241" s="9">
        <v>0.54669999999999996</v>
      </c>
      <c r="AQ241" s="25">
        <v>7.7794999999999996</v>
      </c>
      <c r="AR241" s="9"/>
      <c r="AS241" s="9" t="s">
        <v>26</v>
      </c>
      <c r="AT241" s="22">
        <v>0.62456999999999996</v>
      </c>
      <c r="AU241" s="9">
        <v>0.44019999999999998</v>
      </c>
      <c r="AV241" s="25">
        <v>10.113</v>
      </c>
      <c r="AW241" s="9"/>
      <c r="AX241" s="9" t="s">
        <v>26</v>
      </c>
      <c r="AY241" s="22">
        <v>4.125</v>
      </c>
      <c r="AZ241" s="9">
        <v>3.3180000000000001</v>
      </c>
      <c r="BA241" s="25">
        <v>2.5011000000000001</v>
      </c>
      <c r="BB241" s="9"/>
      <c r="BC241" s="9" t="s">
        <v>26</v>
      </c>
      <c r="BD241" s="22">
        <v>0.28976000000000002</v>
      </c>
      <c r="BE241" s="9">
        <v>0.21149999999999999</v>
      </c>
      <c r="BF241" s="25">
        <v>5.6548999999999996</v>
      </c>
      <c r="BG241" s="9"/>
      <c r="BH241" s="9" t="s">
        <v>26</v>
      </c>
      <c r="BI241" s="22">
        <v>1.7064999999999999</v>
      </c>
      <c r="BJ241" s="12">
        <v>1.8009999999999999</v>
      </c>
    </row>
    <row r="242" spans="1:62" ht="15" thickBot="1" x14ac:dyDescent="0.4">
      <c r="A242" s="13" t="s">
        <v>182</v>
      </c>
      <c r="B242" s="13"/>
      <c r="C242" s="13" t="s">
        <v>152</v>
      </c>
      <c r="D242" s="13" t="s">
        <v>153</v>
      </c>
      <c r="E242" s="25">
        <v>6.6500000000000004E-2</v>
      </c>
      <c r="F242" s="21">
        <v>44883</v>
      </c>
      <c r="G242" s="13">
        <v>2.6398263888888889</v>
      </c>
      <c r="H242" s="25">
        <v>175.32</v>
      </c>
      <c r="I242" s="9"/>
      <c r="J242" s="9" t="s">
        <v>26</v>
      </c>
      <c r="K242" s="22">
        <v>37.252000000000002</v>
      </c>
      <c r="L242" s="9">
        <v>1.419</v>
      </c>
      <c r="M242" s="25">
        <v>19.085999999999999</v>
      </c>
      <c r="N242" s="9"/>
      <c r="O242" s="9" t="s">
        <v>26</v>
      </c>
      <c r="P242" s="22">
        <v>1.7179</v>
      </c>
      <c r="Q242" s="9">
        <v>1.4179999999999999</v>
      </c>
      <c r="R242" s="13"/>
      <c r="S242" s="9"/>
      <c r="T242" s="9"/>
      <c r="U242" s="9" t="s">
        <v>49</v>
      </c>
      <c r="V242" s="22">
        <v>7.1724999999999997E-2</v>
      </c>
      <c r="W242" s="25">
        <v>5.6839000000000004</v>
      </c>
      <c r="X242" s="9"/>
      <c r="Y242" s="9" t="s">
        <v>26</v>
      </c>
      <c r="Z242" s="22">
        <v>0.56557999999999997</v>
      </c>
      <c r="AA242" s="9">
        <v>0.4163</v>
      </c>
      <c r="AB242" s="25">
        <v>4.3255999999999997</v>
      </c>
      <c r="AC242" s="9"/>
      <c r="AD242" s="9" t="s">
        <v>26</v>
      </c>
      <c r="AE242" s="22">
        <v>0.24218000000000001</v>
      </c>
      <c r="AF242" s="9">
        <v>0.16009999999999999</v>
      </c>
      <c r="AG242" s="25">
        <v>6.9903000000000004</v>
      </c>
      <c r="AH242" s="9"/>
      <c r="AI242" s="9" t="s">
        <v>26</v>
      </c>
      <c r="AJ242" s="22">
        <v>1.7868999999999999</v>
      </c>
      <c r="AK242" s="9">
        <v>1.5369999999999999</v>
      </c>
      <c r="AL242" s="25">
        <v>9.8391999999999999</v>
      </c>
      <c r="AM242" s="9"/>
      <c r="AN242" s="9" t="s">
        <v>26</v>
      </c>
      <c r="AO242" s="22">
        <v>0.56067</v>
      </c>
      <c r="AP242" s="9">
        <v>0.3412</v>
      </c>
      <c r="AQ242" s="25">
        <v>8.0419999999999998</v>
      </c>
      <c r="AR242" s="9"/>
      <c r="AS242" s="9" t="s">
        <v>26</v>
      </c>
      <c r="AT242" s="22">
        <v>0.44736999999999999</v>
      </c>
      <c r="AU242" s="9">
        <v>0.28720000000000001</v>
      </c>
      <c r="AV242" s="25">
        <v>4.2413999999999996</v>
      </c>
      <c r="AW242" s="9"/>
      <c r="AX242" s="9" t="s">
        <v>26</v>
      </c>
      <c r="AY242" s="22">
        <v>2.4864999999999999</v>
      </c>
      <c r="AZ242" s="9">
        <v>2.0790000000000002</v>
      </c>
      <c r="BA242" s="25">
        <v>1.9300999999999999</v>
      </c>
      <c r="BB242" s="9"/>
      <c r="BC242" s="9" t="s">
        <v>26</v>
      </c>
      <c r="BD242" s="22">
        <v>0.18770999999999999</v>
      </c>
      <c r="BE242" s="9">
        <v>0.13950000000000001</v>
      </c>
      <c r="BF242" s="25">
        <v>8.8021999999999991</v>
      </c>
      <c r="BG242" s="9"/>
      <c r="BH242" s="9" t="s">
        <v>26</v>
      </c>
      <c r="BI242" s="22">
        <v>1.4798</v>
      </c>
      <c r="BJ242" s="12">
        <v>1.3560000000000001</v>
      </c>
    </row>
    <row r="243" spans="1:62" ht="15" thickBot="1" x14ac:dyDescent="0.4">
      <c r="A243" s="13" t="s">
        <v>183</v>
      </c>
      <c r="B243" s="13"/>
      <c r="C243" s="13" t="s">
        <v>152</v>
      </c>
      <c r="D243" s="13" t="s">
        <v>153</v>
      </c>
      <c r="E243" s="25">
        <v>6.6251000000000004E-2</v>
      </c>
      <c r="F243" s="21">
        <v>44887</v>
      </c>
      <c r="G243" s="13">
        <v>0.97534722222222225</v>
      </c>
      <c r="H243" s="25">
        <v>175.08</v>
      </c>
      <c r="I243" s="9"/>
      <c r="J243" s="9" t="s">
        <v>26</v>
      </c>
      <c r="K243" s="22">
        <v>37.375999999999998</v>
      </c>
      <c r="L243" s="9">
        <v>2.0630000000000002</v>
      </c>
      <c r="M243" s="25">
        <v>21.954000000000001</v>
      </c>
      <c r="N243" s="9"/>
      <c r="O243" s="9" t="s">
        <v>26</v>
      </c>
      <c r="P243" s="22">
        <v>2.5783</v>
      </c>
      <c r="Q243" s="9">
        <v>2.2090000000000001</v>
      </c>
      <c r="R243" s="13"/>
      <c r="S243" s="9"/>
      <c r="T243" s="9"/>
      <c r="U243" s="9" t="s">
        <v>49</v>
      </c>
      <c r="V243" s="22">
        <v>0.11853</v>
      </c>
      <c r="W243" s="13"/>
      <c r="X243" s="9"/>
      <c r="Y243" s="9"/>
      <c r="Z243" s="9" t="s">
        <v>49</v>
      </c>
      <c r="AA243" s="22">
        <v>0.88660000000000005</v>
      </c>
      <c r="AB243" s="25">
        <v>4.6486999999999998</v>
      </c>
      <c r="AC243" s="9"/>
      <c r="AD243" s="9" t="s">
        <v>26</v>
      </c>
      <c r="AE243" s="22">
        <v>0.33634999999999998</v>
      </c>
      <c r="AF243" s="9">
        <v>0.2651</v>
      </c>
      <c r="AG243" s="25">
        <v>10.871</v>
      </c>
      <c r="AH243" s="9"/>
      <c r="AI243" s="9" t="s">
        <v>26</v>
      </c>
      <c r="AJ243" s="22">
        <v>2.5689000000000002</v>
      </c>
      <c r="AK243" s="9">
        <v>2.2229999999999999</v>
      </c>
      <c r="AL243" s="25">
        <v>8.9215999999999998</v>
      </c>
      <c r="AM243" s="9"/>
      <c r="AN243" s="9" t="s">
        <v>26</v>
      </c>
      <c r="AO243" s="22">
        <v>0.54971999999999999</v>
      </c>
      <c r="AP243" s="9">
        <v>0.40600000000000003</v>
      </c>
      <c r="AQ243" s="25">
        <v>8.4032999999999998</v>
      </c>
      <c r="AR243" s="9"/>
      <c r="AS243" s="9" t="s">
        <v>26</v>
      </c>
      <c r="AT243" s="22">
        <v>0.72114999999999996</v>
      </c>
      <c r="AU243" s="9">
        <v>0.49380000000000002</v>
      </c>
      <c r="AV243" s="25">
        <v>7.0667</v>
      </c>
      <c r="AW243" s="9"/>
      <c r="AX243" s="9" t="s">
        <v>26</v>
      </c>
      <c r="AY243" s="22">
        <v>4.0095000000000001</v>
      </c>
      <c r="AZ243" s="9">
        <v>3.1219999999999999</v>
      </c>
      <c r="BA243" s="25">
        <v>2.1484000000000001</v>
      </c>
      <c r="BB243" s="9"/>
      <c r="BC243" s="9" t="s">
        <v>26</v>
      </c>
      <c r="BD243" s="22">
        <v>0.30509999999999998</v>
      </c>
      <c r="BE243" s="9">
        <v>0.23100000000000001</v>
      </c>
      <c r="BF243" s="25">
        <v>9.4583999999999993</v>
      </c>
      <c r="BG243" s="9"/>
      <c r="BH243" s="9" t="s">
        <v>26</v>
      </c>
      <c r="BI243" s="22">
        <v>2.1194999999999999</v>
      </c>
      <c r="BJ243" s="12">
        <v>2.0299999999999998</v>
      </c>
    </row>
    <row r="244" spans="1:62" ht="15" thickBot="1" x14ac:dyDescent="0.4">
      <c r="A244" s="13" t="s">
        <v>184</v>
      </c>
      <c r="B244" s="13"/>
      <c r="C244" s="13" t="s">
        <v>152</v>
      </c>
      <c r="D244" s="13" t="s">
        <v>153</v>
      </c>
      <c r="E244" s="25">
        <v>6.6413E-2</v>
      </c>
      <c r="F244" s="21">
        <v>44887</v>
      </c>
      <c r="G244" s="13">
        <v>0.91723379629629631</v>
      </c>
      <c r="H244" s="25">
        <v>184.05</v>
      </c>
      <c r="I244" s="9"/>
      <c r="J244" s="9" t="s">
        <v>26</v>
      </c>
      <c r="K244" s="22">
        <v>39.290999999999997</v>
      </c>
      <c r="L244" s="9">
        <v>2.101</v>
      </c>
      <c r="M244" s="25">
        <v>19.437999999999999</v>
      </c>
      <c r="N244" s="9"/>
      <c r="O244" s="9" t="s">
        <v>26</v>
      </c>
      <c r="P244" s="22">
        <v>2.1318999999999999</v>
      </c>
      <c r="Q244" s="9">
        <v>2.1219999999999999</v>
      </c>
      <c r="R244" s="13"/>
      <c r="S244" s="9"/>
      <c r="T244" s="9"/>
      <c r="U244" s="9" t="s">
        <v>49</v>
      </c>
      <c r="V244" s="22">
        <v>0.11064</v>
      </c>
      <c r="W244" s="25">
        <v>6.3247999999999998</v>
      </c>
      <c r="X244" s="9"/>
      <c r="Y244" s="9" t="s">
        <v>26</v>
      </c>
      <c r="Z244" s="22">
        <v>0.85387999999999997</v>
      </c>
      <c r="AA244" s="9">
        <v>0.65239999999999998</v>
      </c>
      <c r="AB244" s="25">
        <v>4.2245999999999997</v>
      </c>
      <c r="AC244" s="9"/>
      <c r="AD244" s="9" t="s">
        <v>26</v>
      </c>
      <c r="AE244" s="22">
        <v>0.32855000000000001</v>
      </c>
      <c r="AF244" s="9">
        <v>0.27010000000000001</v>
      </c>
      <c r="AG244" s="25">
        <v>8.0107999999999997</v>
      </c>
      <c r="AH244" s="9"/>
      <c r="AI244" s="9" t="s">
        <v>26</v>
      </c>
      <c r="AJ244" s="22">
        <v>2.3126000000000002</v>
      </c>
      <c r="AK244" s="9">
        <v>2.1219999999999999</v>
      </c>
      <c r="AL244" s="25">
        <v>7.6543000000000001</v>
      </c>
      <c r="AM244" s="9"/>
      <c r="AN244" s="9" t="s">
        <v>26</v>
      </c>
      <c r="AO244" s="22">
        <v>0.53786999999999996</v>
      </c>
      <c r="AP244" s="9">
        <v>0.43059999999999998</v>
      </c>
      <c r="AQ244" s="25">
        <v>7.6044</v>
      </c>
      <c r="AR244" s="9"/>
      <c r="AS244" s="9" t="s">
        <v>26</v>
      </c>
      <c r="AT244" s="22">
        <v>0.57820000000000005</v>
      </c>
      <c r="AU244" s="9">
        <v>0.41299999999999998</v>
      </c>
      <c r="AV244" s="25">
        <v>19.597999999999999</v>
      </c>
      <c r="AW244" s="9"/>
      <c r="AX244" s="9" t="s">
        <v>26</v>
      </c>
      <c r="AY244" s="22">
        <v>3.8675000000000002</v>
      </c>
      <c r="AZ244" s="9">
        <v>3.3820000000000001</v>
      </c>
      <c r="BA244" s="25">
        <v>1.7372000000000001</v>
      </c>
      <c r="BB244" s="9"/>
      <c r="BC244" s="9" t="s">
        <v>26</v>
      </c>
      <c r="BD244" s="22">
        <v>0.27654000000000001</v>
      </c>
      <c r="BE244" s="9">
        <v>0.22539999999999999</v>
      </c>
      <c r="BF244" s="25">
        <v>8.8783999999999992</v>
      </c>
      <c r="BG244" s="9"/>
      <c r="BH244" s="9" t="s">
        <v>26</v>
      </c>
      <c r="BI244" s="22">
        <v>1.9750000000000001</v>
      </c>
      <c r="BJ244" s="12">
        <v>2.1589999999999998</v>
      </c>
    </row>
    <row r="245" spans="1:62" ht="15" thickBot="1" x14ac:dyDescent="0.4">
      <c r="A245" s="13" t="s">
        <v>185</v>
      </c>
      <c r="B245" s="13"/>
      <c r="C245" s="13" t="s">
        <v>152</v>
      </c>
      <c r="D245" s="13" t="s">
        <v>153</v>
      </c>
      <c r="E245" s="25">
        <v>5.6259999999999998E-2</v>
      </c>
      <c r="F245" s="21">
        <v>44888</v>
      </c>
      <c r="G245" s="13">
        <v>1.0021527777777777</v>
      </c>
      <c r="H245" s="26">
        <v>134.32</v>
      </c>
      <c r="I245" s="10"/>
      <c r="J245" s="10" t="s">
        <v>26</v>
      </c>
      <c r="K245" s="18">
        <v>28.841000000000001</v>
      </c>
      <c r="L245" s="10">
        <v>2.3380000000000001</v>
      </c>
      <c r="M245" s="26">
        <v>23.045999999999999</v>
      </c>
      <c r="N245" s="10"/>
      <c r="O245" s="10" t="s">
        <v>26</v>
      </c>
      <c r="P245" s="18">
        <v>3.4773000000000001</v>
      </c>
      <c r="Q245" s="10">
        <v>2.8479999999999999</v>
      </c>
      <c r="R245" s="11"/>
      <c r="S245" s="10"/>
      <c r="T245" s="10"/>
      <c r="U245" s="10" t="s">
        <v>49</v>
      </c>
      <c r="V245" s="18">
        <v>0.12519</v>
      </c>
      <c r="W245" s="26">
        <v>7.3135000000000003</v>
      </c>
      <c r="X245" s="10"/>
      <c r="Y245" s="10" t="s">
        <v>26</v>
      </c>
      <c r="Z245" s="18">
        <v>1.0094000000000001</v>
      </c>
      <c r="AA245" s="10">
        <v>0.74299999999999999</v>
      </c>
      <c r="AB245" s="26">
        <v>3.9741</v>
      </c>
      <c r="AC245" s="10"/>
      <c r="AD245" s="10" t="s">
        <v>26</v>
      </c>
      <c r="AE245" s="18">
        <v>0.34922999999999998</v>
      </c>
      <c r="AF245" s="10">
        <v>0.30980000000000002</v>
      </c>
      <c r="AG245" s="26">
        <v>8.1319999999999997</v>
      </c>
      <c r="AH245" s="10"/>
      <c r="AI245" s="10" t="s">
        <v>26</v>
      </c>
      <c r="AJ245" s="18">
        <v>2.4832000000000001</v>
      </c>
      <c r="AK245" s="10">
        <v>2.3250000000000002</v>
      </c>
      <c r="AL245" s="26">
        <v>11.628</v>
      </c>
      <c r="AM245" s="10"/>
      <c r="AN245" s="10" t="s">
        <v>26</v>
      </c>
      <c r="AO245" s="18">
        <v>0.96055000000000001</v>
      </c>
      <c r="AP245" s="10">
        <v>0.62</v>
      </c>
      <c r="AQ245" s="26">
        <v>9.9956999999999994</v>
      </c>
      <c r="AR245" s="10"/>
      <c r="AS245" s="10" t="s">
        <v>26</v>
      </c>
      <c r="AT245" s="18">
        <v>0.79854000000000003</v>
      </c>
      <c r="AU245" s="10">
        <v>0.53759999999999997</v>
      </c>
      <c r="AV245" s="11"/>
      <c r="AW245" s="10"/>
      <c r="AX245" s="10"/>
      <c r="AY245" s="10" t="s">
        <v>49</v>
      </c>
      <c r="AZ245" s="18">
        <v>4.2408999999999999</v>
      </c>
      <c r="BA245" s="26">
        <v>2.5367000000000002</v>
      </c>
      <c r="BB245" s="10"/>
      <c r="BC245" s="10" t="s">
        <v>26</v>
      </c>
      <c r="BD245" s="18">
        <v>0.34477999999999998</v>
      </c>
      <c r="BE245" s="10">
        <v>0.25669999999999998</v>
      </c>
      <c r="BF245" s="26">
        <v>14.06</v>
      </c>
      <c r="BG245" s="10"/>
      <c r="BH245" s="10" t="s">
        <v>26</v>
      </c>
      <c r="BI245" s="18">
        <v>2.1827000000000001</v>
      </c>
      <c r="BJ245" s="24">
        <v>2.306</v>
      </c>
    </row>
    <row r="246" spans="1:62" ht="15" thickBot="1" x14ac:dyDescent="0.4">
      <c r="A246" s="10" t="s">
        <v>186</v>
      </c>
      <c r="B246" s="10"/>
      <c r="C246" s="11" t="s">
        <v>152</v>
      </c>
      <c r="D246" s="11" t="s">
        <v>153</v>
      </c>
      <c r="E246" s="26">
        <v>6.5989999999999993E-2</v>
      </c>
      <c r="F246" s="20">
        <v>44889</v>
      </c>
      <c r="G246" s="11">
        <v>0.97953703703703698</v>
      </c>
      <c r="H246" s="28">
        <v>137.36000000000001</v>
      </c>
      <c r="I246" s="15"/>
      <c r="J246" s="15" t="s">
        <v>26</v>
      </c>
      <c r="K246" s="16">
        <v>29.393000000000001</v>
      </c>
      <c r="L246" s="15">
        <v>1.91</v>
      </c>
      <c r="M246" s="28">
        <v>23.995999999999999</v>
      </c>
      <c r="N246" s="15"/>
      <c r="O246" s="15" t="s">
        <v>26</v>
      </c>
      <c r="P246" s="16">
        <v>2.0619999999999998</v>
      </c>
      <c r="Q246" s="15">
        <v>1.9179999999999999</v>
      </c>
      <c r="R246" s="14"/>
      <c r="S246" s="15"/>
      <c r="T246" s="15"/>
      <c r="U246" s="15" t="s">
        <v>49</v>
      </c>
      <c r="V246" s="16">
        <v>0.11267000000000001</v>
      </c>
      <c r="W246" s="28">
        <v>5.1280000000000001</v>
      </c>
      <c r="X246" s="15"/>
      <c r="Y246" s="15" t="s">
        <v>26</v>
      </c>
      <c r="Z246" s="16">
        <v>0.87185000000000001</v>
      </c>
      <c r="AA246" s="15">
        <v>0.68240000000000001</v>
      </c>
      <c r="AB246" s="28">
        <v>3.9397000000000002</v>
      </c>
      <c r="AC246" s="15"/>
      <c r="AD246" s="15" t="s">
        <v>26</v>
      </c>
      <c r="AE246" s="16">
        <v>0.30760999999999999</v>
      </c>
      <c r="AF246" s="15">
        <v>0.25330000000000003</v>
      </c>
      <c r="AG246" s="14"/>
      <c r="AH246" s="15"/>
      <c r="AI246" s="15"/>
      <c r="AJ246" s="15" t="s">
        <v>49</v>
      </c>
      <c r="AK246" s="16">
        <v>1.2948999999999999</v>
      </c>
      <c r="AL246" s="28">
        <v>11.217000000000001</v>
      </c>
      <c r="AM246" s="15"/>
      <c r="AN246" s="15" t="s">
        <v>26</v>
      </c>
      <c r="AO246" s="16">
        <v>0.83140999999999998</v>
      </c>
      <c r="AP246" s="15">
        <v>0.52659999999999996</v>
      </c>
      <c r="AQ246" s="28">
        <v>8.3780000000000001</v>
      </c>
      <c r="AR246" s="15"/>
      <c r="AS246" s="15" t="s">
        <v>26</v>
      </c>
      <c r="AT246" s="16">
        <v>0.67893999999999999</v>
      </c>
      <c r="AU246" s="15">
        <v>0.46700000000000003</v>
      </c>
      <c r="AV246" s="28">
        <v>6.5609000000000002</v>
      </c>
      <c r="AW246" s="15"/>
      <c r="AX246" s="15" t="s">
        <v>26</v>
      </c>
      <c r="AY246" s="16">
        <v>4.0183999999999997</v>
      </c>
      <c r="AZ246" s="15">
        <v>3.2709999999999999</v>
      </c>
      <c r="BA246" s="28">
        <v>2.1071</v>
      </c>
      <c r="BB246" s="15"/>
      <c r="BC246" s="15" t="s">
        <v>26</v>
      </c>
      <c r="BD246" s="16">
        <v>0.26053999999999999</v>
      </c>
      <c r="BE246" s="15">
        <v>0.20449999999999999</v>
      </c>
      <c r="BF246" s="28">
        <v>8.8033000000000001</v>
      </c>
      <c r="BG246" s="15"/>
      <c r="BH246" s="15" t="s">
        <v>26</v>
      </c>
      <c r="BI246" s="16">
        <v>2.0087999999999999</v>
      </c>
      <c r="BJ246" s="27">
        <v>1.948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5C08-A020-47FD-B1C0-21CA19A2D470}">
  <sheetPr codeName="Sheet9"/>
  <dimension ref="A8:AD117"/>
  <sheetViews>
    <sheetView topLeftCell="A79" workbookViewId="0">
      <pane xSplit="1" topLeftCell="B1" activePane="topRight" state="frozen"/>
      <selection pane="topRight" activeCell="F88" sqref="F88"/>
    </sheetView>
  </sheetViews>
  <sheetFormatPr defaultRowHeight="14.5" x14ac:dyDescent="0.35"/>
  <cols>
    <col min="1" max="1" width="12.81640625" customWidth="1"/>
    <col min="2" max="3" width="14.7265625" customWidth="1"/>
    <col min="5" max="5" width="14.6328125" customWidth="1"/>
  </cols>
  <sheetData>
    <row r="8" spans="1:24" ht="15" thickBot="1" x14ac:dyDescent="0.4">
      <c r="G8" t="s">
        <v>1</v>
      </c>
      <c r="H8" t="s">
        <v>23</v>
      </c>
      <c r="J8" t="s">
        <v>56</v>
      </c>
      <c r="K8" t="s">
        <v>57</v>
      </c>
      <c r="M8" t="s">
        <v>21</v>
      </c>
      <c r="N8" t="s">
        <v>54</v>
      </c>
      <c r="P8" t="s">
        <v>19</v>
      </c>
      <c r="Q8" t="s">
        <v>53</v>
      </c>
      <c r="S8" t="s">
        <v>198</v>
      </c>
      <c r="T8" t="s">
        <v>199</v>
      </c>
      <c r="V8" t="s">
        <v>200</v>
      </c>
      <c r="W8" t="s">
        <v>201</v>
      </c>
    </row>
    <row r="9" spans="1:24" ht="15" thickBot="1" x14ac:dyDescent="0.4">
      <c r="A9" s="13" t="s">
        <v>30</v>
      </c>
      <c r="B9" s="13" t="s">
        <v>29</v>
      </c>
      <c r="C9" s="13" t="s">
        <v>31</v>
      </c>
      <c r="D9" s="13" t="s">
        <v>27</v>
      </c>
      <c r="E9" s="13" t="s">
        <v>25</v>
      </c>
      <c r="F9" s="30" t="s">
        <v>28</v>
      </c>
      <c r="G9" t="s">
        <v>188</v>
      </c>
      <c r="H9" t="s">
        <v>189</v>
      </c>
      <c r="I9" t="s">
        <v>190</v>
      </c>
      <c r="J9" t="s">
        <v>188</v>
      </c>
      <c r="K9" t="s">
        <v>189</v>
      </c>
      <c r="L9" t="s">
        <v>190</v>
      </c>
      <c r="M9" t="s">
        <v>188</v>
      </c>
      <c r="N9" t="s">
        <v>189</v>
      </c>
      <c r="O9" t="s">
        <v>190</v>
      </c>
      <c r="P9" t="s">
        <v>188</v>
      </c>
      <c r="Q9" t="s">
        <v>189</v>
      </c>
      <c r="R9" t="s">
        <v>190</v>
      </c>
      <c r="S9" t="s">
        <v>188</v>
      </c>
      <c r="T9" t="s">
        <v>189</v>
      </c>
      <c r="U9" t="s">
        <v>190</v>
      </c>
      <c r="V9" t="s">
        <v>188</v>
      </c>
      <c r="W9" t="s">
        <v>189</v>
      </c>
      <c r="X9" t="s">
        <v>190</v>
      </c>
    </row>
    <row r="10" spans="1:24" ht="15" thickBot="1" x14ac:dyDescent="0.4">
      <c r="A10" s="10" t="s">
        <v>187</v>
      </c>
      <c r="B10" s="11" t="s">
        <v>42</v>
      </c>
      <c r="C10" s="11" t="s">
        <v>76</v>
      </c>
      <c r="D10" s="11">
        <v>4.0795999999999999E-2</v>
      </c>
      <c r="E10" s="20">
        <v>44893</v>
      </c>
      <c r="F10" s="31">
        <v>2.0012268518518521</v>
      </c>
      <c r="G10" s="8">
        <v>1442</v>
      </c>
      <c r="H10" s="8">
        <v>75.23</v>
      </c>
      <c r="I10">
        <v>8.3397915630458175E-3</v>
      </c>
      <c r="J10" s="8">
        <v>2117</v>
      </c>
      <c r="K10" s="8">
        <v>272.3</v>
      </c>
      <c r="L10">
        <v>1.2243646837009705E-2</v>
      </c>
      <c r="M10" s="8">
        <v>4362</v>
      </c>
      <c r="N10" s="8">
        <v>255.6</v>
      </c>
      <c r="O10">
        <v>2.5227580303748859E-2</v>
      </c>
      <c r="P10" s="8">
        <v>3016</v>
      </c>
      <c r="Q10" s="8">
        <v>69.94</v>
      </c>
      <c r="R10">
        <v>1.7443003713000126E-2</v>
      </c>
      <c r="S10" s="8">
        <v>540.9</v>
      </c>
      <c r="T10" s="8">
        <v>31.39</v>
      </c>
      <c r="U10">
        <v>3.1282893595363953E-3</v>
      </c>
      <c r="X10">
        <v>0</v>
      </c>
    </row>
    <row r="11" spans="1:24" x14ac:dyDescent="0.35">
      <c r="A11" t="s">
        <v>191</v>
      </c>
      <c r="B11" t="s">
        <v>42</v>
      </c>
      <c r="C11" t="s">
        <v>76</v>
      </c>
      <c r="D11">
        <v>1</v>
      </c>
      <c r="E11" s="1">
        <v>44608</v>
      </c>
      <c r="F11">
        <v>0.11574074074074074</v>
      </c>
      <c r="G11" s="8">
        <v>7500</v>
      </c>
      <c r="H11" s="8">
        <v>88.77</v>
      </c>
      <c r="I11">
        <v>0.75</v>
      </c>
      <c r="J11" s="8">
        <v>7652</v>
      </c>
      <c r="K11" s="8">
        <v>95.37</v>
      </c>
      <c r="L11">
        <v>0.76519999999999999</v>
      </c>
      <c r="M11" s="8">
        <v>32060</v>
      </c>
      <c r="N11" s="8">
        <v>317.2</v>
      </c>
      <c r="O11">
        <v>3.206</v>
      </c>
      <c r="P11" s="8">
        <v>23850</v>
      </c>
      <c r="Q11" s="8">
        <v>155.6</v>
      </c>
      <c r="R11">
        <v>2.3849999999999998</v>
      </c>
      <c r="S11" s="8">
        <v>4930</v>
      </c>
      <c r="T11" s="8">
        <v>72.83</v>
      </c>
      <c r="U11">
        <v>0.49299999999999999</v>
      </c>
      <c r="V11" s="8">
        <v>3954</v>
      </c>
      <c r="W11" s="8">
        <v>63.79</v>
      </c>
      <c r="X11">
        <v>0.39539999999999997</v>
      </c>
    </row>
    <row r="12" spans="1:24" x14ac:dyDescent="0.35">
      <c r="A12" t="s">
        <v>195</v>
      </c>
      <c r="B12" t="s">
        <v>42</v>
      </c>
      <c r="C12" t="s">
        <v>76</v>
      </c>
      <c r="D12">
        <v>5.7541000000000002E-2</v>
      </c>
      <c r="E12" s="1">
        <v>44901</v>
      </c>
      <c r="F12">
        <v>0.11574074074074074</v>
      </c>
      <c r="G12" s="8">
        <v>2013</v>
      </c>
      <c r="H12" s="8">
        <v>79.28</v>
      </c>
      <c r="I12">
        <v>0.20130000000000001</v>
      </c>
      <c r="J12" s="8">
        <v>6128</v>
      </c>
      <c r="K12" s="8">
        <v>97.98</v>
      </c>
      <c r="L12">
        <v>0.61280000000000001</v>
      </c>
      <c r="O12">
        <v>0</v>
      </c>
      <c r="R12">
        <v>0</v>
      </c>
      <c r="U12">
        <v>0</v>
      </c>
      <c r="X12">
        <v>0</v>
      </c>
    </row>
    <row r="13" spans="1:24" x14ac:dyDescent="0.35">
      <c r="A13" t="s">
        <v>193</v>
      </c>
      <c r="B13" t="s">
        <v>42</v>
      </c>
      <c r="C13" t="s">
        <v>76</v>
      </c>
      <c r="D13">
        <v>5.7541000000000002E-2</v>
      </c>
      <c r="E13" s="1">
        <v>44594</v>
      </c>
      <c r="F13">
        <v>1.1574074074074074</v>
      </c>
      <c r="I13">
        <v>0</v>
      </c>
      <c r="L13">
        <v>0</v>
      </c>
      <c r="O13">
        <v>0</v>
      </c>
      <c r="R13">
        <v>0</v>
      </c>
      <c r="U13">
        <v>0</v>
      </c>
      <c r="V13" s="8">
        <v>26.05</v>
      </c>
      <c r="W13" s="8">
        <v>11.95</v>
      </c>
      <c r="X13">
        <v>2.6049999999999999E-4</v>
      </c>
    </row>
    <row r="14" spans="1:24" x14ac:dyDescent="0.35">
      <c r="A14" t="s">
        <v>194</v>
      </c>
      <c r="B14" t="s">
        <v>42</v>
      </c>
      <c r="C14" t="s">
        <v>76</v>
      </c>
      <c r="D14">
        <v>5.0090000000000003E-2</v>
      </c>
      <c r="E14" s="1">
        <v>44596</v>
      </c>
      <c r="F14">
        <v>1.1574074074074074</v>
      </c>
      <c r="G14" s="8">
        <v>1552</v>
      </c>
      <c r="H14" s="8">
        <v>145.5</v>
      </c>
      <c r="I14">
        <v>1.5520000000000001E-2</v>
      </c>
      <c r="J14" s="8">
        <v>3535</v>
      </c>
      <c r="K14" s="8">
        <v>645.5</v>
      </c>
      <c r="L14">
        <v>3.5349999999999999E-2</v>
      </c>
      <c r="M14" s="8">
        <v>8576</v>
      </c>
      <c r="N14" s="8">
        <v>465.7</v>
      </c>
      <c r="O14">
        <v>8.5760000000000003E-2</v>
      </c>
      <c r="P14" s="8">
        <v>5861</v>
      </c>
      <c r="Q14" s="8">
        <v>130.6</v>
      </c>
      <c r="R14">
        <v>5.8610000000000002E-2</v>
      </c>
      <c r="U14">
        <v>0</v>
      </c>
      <c r="X14">
        <v>0</v>
      </c>
    </row>
    <row r="15" spans="1:24" x14ac:dyDescent="0.35">
      <c r="A15" t="s">
        <v>192</v>
      </c>
      <c r="B15" t="s">
        <v>42</v>
      </c>
      <c r="C15" t="s">
        <v>76</v>
      </c>
      <c r="D15">
        <v>5.0090000000000003E-2</v>
      </c>
      <c r="E15" s="1">
        <v>44901</v>
      </c>
      <c r="F15">
        <v>0.11574074074074074</v>
      </c>
      <c r="G15" s="8">
        <v>3295</v>
      </c>
      <c r="H15" s="8">
        <v>103.5</v>
      </c>
      <c r="I15">
        <v>0.32950000000000002</v>
      </c>
      <c r="J15" s="8">
        <v>6547</v>
      </c>
      <c r="K15" s="8">
        <v>114.7</v>
      </c>
      <c r="L15">
        <v>0.65469999999999995</v>
      </c>
      <c r="O15">
        <v>0</v>
      </c>
      <c r="R15">
        <v>0</v>
      </c>
      <c r="U15">
        <v>0</v>
      </c>
      <c r="X15">
        <v>0</v>
      </c>
    </row>
    <row r="16" spans="1:24" s="50" customFormat="1" x14ac:dyDescent="0.35">
      <c r="A16" s="50" t="s">
        <v>196</v>
      </c>
      <c r="B16" s="50" t="s">
        <v>42</v>
      </c>
      <c r="C16" s="50" t="s">
        <v>76</v>
      </c>
      <c r="D16" s="50">
        <v>6.4928E-2</v>
      </c>
      <c r="E16" s="51">
        <v>44592</v>
      </c>
      <c r="F16" s="50">
        <v>1.0919328703703706</v>
      </c>
      <c r="G16" s="52">
        <v>125000</v>
      </c>
      <c r="H16" s="52">
        <v>1288</v>
      </c>
      <c r="I16" s="50">
        <v>1.3249525666981121</v>
      </c>
      <c r="J16" s="52">
        <v>188700</v>
      </c>
      <c r="K16" s="52">
        <v>469.7</v>
      </c>
      <c r="L16" s="50">
        <v>2.0001483946874701</v>
      </c>
      <c r="M16" s="52">
        <v>671300</v>
      </c>
      <c r="N16" s="52">
        <v>1412</v>
      </c>
      <c r="O16" s="50">
        <v>7.1155252641955418</v>
      </c>
      <c r="P16" s="52">
        <v>466200</v>
      </c>
      <c r="Q16" s="52">
        <v>690.3</v>
      </c>
      <c r="R16" s="50">
        <v>4.9415430927572794</v>
      </c>
      <c r="S16" s="52">
        <v>99070</v>
      </c>
      <c r="T16" s="52">
        <v>326.8</v>
      </c>
      <c r="U16" s="50">
        <v>1.0501044062622558</v>
      </c>
      <c r="V16" s="52">
        <v>86170</v>
      </c>
      <c r="W16" s="52">
        <v>297.60000000000002</v>
      </c>
      <c r="X16" s="50">
        <v>0.91336930137901062</v>
      </c>
    </row>
    <row r="17" spans="1:27" x14ac:dyDescent="0.35">
      <c r="A17" t="s">
        <v>197</v>
      </c>
      <c r="B17" t="s">
        <v>42</v>
      </c>
      <c r="C17" t="s">
        <v>76</v>
      </c>
      <c r="D17">
        <v>6.4928E-2</v>
      </c>
      <c r="E17" s="1">
        <v>44608</v>
      </c>
      <c r="F17">
        <v>0.11574074074074074</v>
      </c>
      <c r="G17" s="8">
        <v>16810</v>
      </c>
      <c r="H17" s="8">
        <v>486.8</v>
      </c>
      <c r="I17">
        <v>1.681</v>
      </c>
      <c r="J17" s="8">
        <v>25280</v>
      </c>
      <c r="K17" s="8">
        <v>568</v>
      </c>
      <c r="L17">
        <v>2.528</v>
      </c>
      <c r="M17" s="8">
        <v>94090</v>
      </c>
      <c r="N17" s="8">
        <v>528</v>
      </c>
      <c r="O17">
        <v>9.4090000000000007</v>
      </c>
      <c r="P17" s="8">
        <v>67770</v>
      </c>
      <c r="Q17" s="8">
        <v>262.5</v>
      </c>
      <c r="R17">
        <v>6.7770000000000001</v>
      </c>
      <c r="S17" s="8">
        <v>14390</v>
      </c>
      <c r="T17" s="8">
        <v>124.4</v>
      </c>
      <c r="U17">
        <v>1.4390000000000001</v>
      </c>
      <c r="V17" s="8">
        <v>12340</v>
      </c>
      <c r="W17" s="8">
        <v>112.7</v>
      </c>
      <c r="X17">
        <v>1.234</v>
      </c>
    </row>
    <row r="19" spans="1:27" ht="15" thickBot="1" x14ac:dyDescent="0.4">
      <c r="G19" t="s">
        <v>1</v>
      </c>
      <c r="H19" t="s">
        <v>23</v>
      </c>
      <c r="J19" t="s">
        <v>56</v>
      </c>
      <c r="K19" t="s">
        <v>57</v>
      </c>
      <c r="M19" t="s">
        <v>21</v>
      </c>
      <c r="N19" t="s">
        <v>54</v>
      </c>
      <c r="P19" t="s">
        <v>19</v>
      </c>
      <c r="Q19" t="s">
        <v>53</v>
      </c>
      <c r="S19" t="s">
        <v>198</v>
      </c>
      <c r="T19" t="s">
        <v>199</v>
      </c>
      <c r="V19" t="s">
        <v>200</v>
      </c>
      <c r="W19" t="s">
        <v>201</v>
      </c>
    </row>
    <row r="20" spans="1:27" ht="15" thickBot="1" x14ac:dyDescent="0.4">
      <c r="A20" s="13" t="s">
        <v>30</v>
      </c>
      <c r="B20" s="13" t="s">
        <v>29</v>
      </c>
      <c r="C20" s="13" t="s">
        <v>31</v>
      </c>
      <c r="D20" s="13" t="s">
        <v>27</v>
      </c>
      <c r="E20" s="13" t="s">
        <v>25</v>
      </c>
      <c r="F20" s="30" t="s">
        <v>28</v>
      </c>
      <c r="G20" t="s">
        <v>188</v>
      </c>
      <c r="H20" t="s">
        <v>189</v>
      </c>
      <c r="I20" t="s">
        <v>190</v>
      </c>
      <c r="J20" t="s">
        <v>188</v>
      </c>
      <c r="K20" t="s">
        <v>189</v>
      </c>
      <c r="L20" t="s">
        <v>190</v>
      </c>
      <c r="M20" t="s">
        <v>188</v>
      </c>
      <c r="N20" t="s">
        <v>189</v>
      </c>
      <c r="O20" t="s">
        <v>190</v>
      </c>
      <c r="P20" t="s">
        <v>188</v>
      </c>
      <c r="Q20" t="s">
        <v>189</v>
      </c>
      <c r="R20" t="s">
        <v>190</v>
      </c>
      <c r="S20" t="s">
        <v>188</v>
      </c>
      <c r="T20" t="s">
        <v>189</v>
      </c>
      <c r="U20" t="s">
        <v>190</v>
      </c>
      <c r="V20" t="s">
        <v>188</v>
      </c>
      <c r="W20" t="s">
        <v>189</v>
      </c>
      <c r="X20" t="s">
        <v>190</v>
      </c>
    </row>
    <row r="21" spans="1:27" ht="15" thickBot="1" x14ac:dyDescent="0.4">
      <c r="A21" s="10" t="s">
        <v>187</v>
      </c>
      <c r="B21" s="11" t="s">
        <v>42</v>
      </c>
      <c r="C21" s="11" t="s">
        <v>76</v>
      </c>
      <c r="D21" s="11">
        <v>4.0795999999999999E-2</v>
      </c>
      <c r="E21" s="20">
        <v>44893</v>
      </c>
      <c r="F21" s="31">
        <v>2.0012268518518521</v>
      </c>
      <c r="G21" s="8">
        <v>1442</v>
      </c>
      <c r="H21" s="8">
        <v>75.23</v>
      </c>
      <c r="I21">
        <v>8.3397915630458175E-3</v>
      </c>
      <c r="J21" s="8">
        <v>2117</v>
      </c>
      <c r="K21" s="8">
        <v>272.3</v>
      </c>
      <c r="L21">
        <v>1.2243646837009705E-2</v>
      </c>
      <c r="M21" s="8">
        <v>4362</v>
      </c>
      <c r="N21" s="8">
        <v>255.6</v>
      </c>
      <c r="O21">
        <v>2.5227580303748859E-2</v>
      </c>
      <c r="P21" s="8">
        <v>3016</v>
      </c>
      <c r="Q21" s="8">
        <v>69.94</v>
      </c>
      <c r="R21">
        <v>1.7443003713000126E-2</v>
      </c>
      <c r="S21" s="8">
        <v>540.9</v>
      </c>
      <c r="T21" s="8">
        <v>31.39</v>
      </c>
      <c r="U21">
        <v>3.1282893595363953E-3</v>
      </c>
      <c r="V21" s="8">
        <v>481.9</v>
      </c>
      <c r="W21" s="8">
        <v>10.119999999999999</v>
      </c>
      <c r="X21" s="8">
        <f>V21/$E$21/86400</f>
        <v>1.2424089047950229E-7</v>
      </c>
    </row>
    <row r="22" spans="1:27" x14ac:dyDescent="0.35">
      <c r="A22" t="s">
        <v>191</v>
      </c>
      <c r="B22" t="s">
        <v>42</v>
      </c>
      <c r="C22" t="s">
        <v>76</v>
      </c>
      <c r="D22">
        <v>1</v>
      </c>
      <c r="E22" s="1">
        <v>44608</v>
      </c>
      <c r="F22">
        <v>0.11574074074074074</v>
      </c>
      <c r="G22" s="8">
        <v>7500</v>
      </c>
      <c r="H22" s="8">
        <v>88.77</v>
      </c>
      <c r="I22">
        <v>0.75</v>
      </c>
      <c r="J22" s="8">
        <v>7652</v>
      </c>
      <c r="K22" s="8">
        <v>95.37</v>
      </c>
      <c r="L22">
        <v>0.76519999999999999</v>
      </c>
      <c r="M22" s="8">
        <v>32060</v>
      </c>
      <c r="N22" s="8">
        <v>317.2</v>
      </c>
      <c r="O22">
        <v>3.206</v>
      </c>
      <c r="P22" s="8">
        <v>23850</v>
      </c>
      <c r="Q22" s="8">
        <v>155.6</v>
      </c>
      <c r="R22">
        <v>2.3849999999999998</v>
      </c>
      <c r="S22" s="8">
        <v>4930</v>
      </c>
      <c r="T22" s="8">
        <v>72.83</v>
      </c>
      <c r="U22">
        <v>0.49299999999999999</v>
      </c>
      <c r="V22" s="8">
        <v>3954</v>
      </c>
      <c r="W22" s="8">
        <v>63.79</v>
      </c>
      <c r="X22">
        <v>0.39539999999999997</v>
      </c>
    </row>
    <row r="23" spans="1:27" x14ac:dyDescent="0.35">
      <c r="A23" t="s">
        <v>195</v>
      </c>
      <c r="B23" t="s">
        <v>42</v>
      </c>
      <c r="C23" t="s">
        <v>76</v>
      </c>
      <c r="D23">
        <v>5.7541000000000002E-2</v>
      </c>
      <c r="E23" s="1">
        <v>44901</v>
      </c>
      <c r="F23">
        <v>0.11574074074074074</v>
      </c>
      <c r="G23" s="8">
        <v>2025</v>
      </c>
      <c r="H23" s="8">
        <v>79.38</v>
      </c>
      <c r="I23">
        <v>0.20250000000000001</v>
      </c>
      <c r="J23" s="8">
        <v>6128</v>
      </c>
      <c r="K23" s="8">
        <v>97.98</v>
      </c>
      <c r="L23">
        <v>0.61280000000000001</v>
      </c>
      <c r="M23" s="8">
        <v>31030</v>
      </c>
      <c r="N23" s="8">
        <v>177.9</v>
      </c>
      <c r="O23" s="8">
        <f>M23/$D$23/86400</f>
        <v>6.2415237572951208</v>
      </c>
      <c r="P23" s="8">
        <v>24110</v>
      </c>
      <c r="Q23" s="8">
        <v>254.8</v>
      </c>
      <c r="R23" s="8">
        <f>P23/$E$23/86400</f>
        <v>6.2148042566073349E-6</v>
      </c>
      <c r="S23" s="8">
        <v>5309</v>
      </c>
      <c r="T23" s="8">
        <v>187.7</v>
      </c>
      <c r="U23" s="8">
        <f>S23/$E$23/86400</f>
        <v>1.3684942263927143E-6</v>
      </c>
      <c r="V23" s="8">
        <v>4178</v>
      </c>
      <c r="W23" s="8">
        <v>147.69999999999999</v>
      </c>
      <c r="X23" s="8">
        <f>V23/$E$23/86400</f>
        <v>1.0769577844921378E-6</v>
      </c>
    </row>
    <row r="24" spans="1:27" x14ac:dyDescent="0.35">
      <c r="A24" t="s">
        <v>193</v>
      </c>
      <c r="B24" t="s">
        <v>42</v>
      </c>
      <c r="C24" t="s">
        <v>76</v>
      </c>
      <c r="D24">
        <v>5.7541000000000002E-2</v>
      </c>
      <c r="E24" s="1">
        <v>44594</v>
      </c>
      <c r="F24">
        <v>1.1574074074074074</v>
      </c>
      <c r="I24">
        <v>0</v>
      </c>
      <c r="L24">
        <v>0</v>
      </c>
      <c r="O24">
        <v>0</v>
      </c>
      <c r="R24">
        <v>0</v>
      </c>
      <c r="U24">
        <v>0</v>
      </c>
      <c r="V24" s="8">
        <v>26.05</v>
      </c>
      <c r="W24" s="8">
        <v>11.95</v>
      </c>
      <c r="X24">
        <v>2.6049999999999999E-4</v>
      </c>
    </row>
    <row r="25" spans="1:27" x14ac:dyDescent="0.35">
      <c r="A25" t="s">
        <v>194</v>
      </c>
      <c r="B25" t="s">
        <v>42</v>
      </c>
      <c r="C25" t="s">
        <v>76</v>
      </c>
      <c r="D25">
        <v>5.0090000000000003E-2</v>
      </c>
      <c r="E25" s="1">
        <v>44596</v>
      </c>
      <c r="F25">
        <v>1.1574074074074074</v>
      </c>
      <c r="G25" s="8">
        <v>1552</v>
      </c>
      <c r="H25" s="8">
        <v>145.5</v>
      </c>
      <c r="I25">
        <v>1.5520000000000001E-2</v>
      </c>
      <c r="J25" s="8">
        <v>3535</v>
      </c>
      <c r="K25" s="8">
        <v>645.5</v>
      </c>
      <c r="L25">
        <v>3.5349999999999999E-2</v>
      </c>
      <c r="M25" s="8">
        <v>8576</v>
      </c>
      <c r="N25" s="8">
        <v>465.7</v>
      </c>
      <c r="O25">
        <v>8.5760000000000003E-2</v>
      </c>
      <c r="P25" s="8">
        <v>5861</v>
      </c>
      <c r="Q25" s="8">
        <v>130.6</v>
      </c>
      <c r="R25" s="8">
        <f>P25/$E$25/86400</f>
        <v>1.5211150809074391E-6</v>
      </c>
      <c r="S25" s="8">
        <v>2577</v>
      </c>
      <c r="T25" s="8">
        <v>76.45</v>
      </c>
      <c r="U25" s="8">
        <f>S25/$E$25/86400</f>
        <v>6.6881309733807714E-7</v>
      </c>
      <c r="V25" s="8">
        <v>1116</v>
      </c>
      <c r="W25" s="8">
        <v>53.16</v>
      </c>
      <c r="X25" s="8">
        <f>V25/$E$25/86400</f>
        <v>2.8963733668191464E-7</v>
      </c>
    </row>
    <row r="26" spans="1:27" x14ac:dyDescent="0.35">
      <c r="A26" t="s">
        <v>192</v>
      </c>
      <c r="B26" t="s">
        <v>42</v>
      </c>
      <c r="C26" t="s">
        <v>76</v>
      </c>
      <c r="D26">
        <v>5.0090000000000003E-2</v>
      </c>
      <c r="E26" s="1">
        <v>44901</v>
      </c>
      <c r="F26">
        <v>0.11574074074074074</v>
      </c>
      <c r="G26" s="8">
        <v>3295</v>
      </c>
      <c r="H26" s="8">
        <v>103.5</v>
      </c>
      <c r="I26">
        <v>0.32950000000000002</v>
      </c>
      <c r="J26" s="8">
        <v>6547</v>
      </c>
      <c r="K26" s="8">
        <v>114.7</v>
      </c>
      <c r="L26">
        <v>0.65469999999999995</v>
      </c>
      <c r="M26" s="8">
        <v>33110</v>
      </c>
      <c r="N26" s="8">
        <v>186.2</v>
      </c>
      <c r="O26" s="8">
        <f>M26/$E$26/86400</f>
        <v>8.53472289242094E-6</v>
      </c>
      <c r="P26" s="8">
        <v>25770</v>
      </c>
      <c r="Q26" s="8">
        <v>155.6</v>
      </c>
      <c r="R26" s="8">
        <f>P26/$E$26/86400</f>
        <v>6.6427003605462875E-6</v>
      </c>
      <c r="S26" s="8">
        <v>5459</v>
      </c>
      <c r="T26" s="8">
        <v>114.9</v>
      </c>
      <c r="U26" s="8">
        <f>S26/$E$26/86400</f>
        <v>1.4071595369896077E-6</v>
      </c>
      <c r="V26" s="8">
        <v>4476</v>
      </c>
      <c r="W26" s="8">
        <v>89.56</v>
      </c>
      <c r="X26" s="8">
        <f>V26/$E$26/86400</f>
        <v>1.1537728682112995E-6</v>
      </c>
    </row>
    <row r="27" spans="1:27" x14ac:dyDescent="0.35">
      <c r="A27" t="s">
        <v>196</v>
      </c>
      <c r="B27" t="s">
        <v>42</v>
      </c>
      <c r="C27" t="s">
        <v>76</v>
      </c>
      <c r="D27">
        <v>6.4928E-2</v>
      </c>
      <c r="E27" s="1">
        <v>44592</v>
      </c>
      <c r="F27">
        <v>1.0919328703703706</v>
      </c>
      <c r="G27" s="8">
        <v>125000</v>
      </c>
      <c r="H27" s="8">
        <v>1288</v>
      </c>
      <c r="I27">
        <v>1.3249525666981121</v>
      </c>
      <c r="J27" s="8">
        <v>188700</v>
      </c>
      <c r="K27" s="8">
        <v>469.7</v>
      </c>
      <c r="L27">
        <v>2.0001483946874701</v>
      </c>
      <c r="M27" s="8">
        <v>671300</v>
      </c>
      <c r="N27" s="8">
        <v>1412</v>
      </c>
      <c r="O27">
        <v>7.1155252641955418</v>
      </c>
      <c r="P27" s="8">
        <v>466200</v>
      </c>
      <c r="Q27" s="8">
        <v>690.3</v>
      </c>
      <c r="R27">
        <v>4.9415430927572794</v>
      </c>
      <c r="S27" s="8">
        <v>99070</v>
      </c>
      <c r="T27" s="8">
        <v>326.8</v>
      </c>
      <c r="U27">
        <v>1.0501044062622558</v>
      </c>
      <c r="V27" s="8">
        <v>86170</v>
      </c>
      <c r="W27" s="8">
        <v>297.60000000000002</v>
      </c>
      <c r="X27">
        <v>0.91336930137901062</v>
      </c>
    </row>
    <row r="28" spans="1:27" x14ac:dyDescent="0.35">
      <c r="A28" t="s">
        <v>197</v>
      </c>
      <c r="B28" t="s">
        <v>42</v>
      </c>
      <c r="C28" t="s">
        <v>76</v>
      </c>
      <c r="D28">
        <v>6.4928E-2</v>
      </c>
      <c r="E28" s="1">
        <v>44608</v>
      </c>
      <c r="F28">
        <v>0.11574074074074074</v>
      </c>
      <c r="G28" s="8">
        <v>16810</v>
      </c>
      <c r="H28" s="8">
        <v>486.8</v>
      </c>
      <c r="I28">
        <v>1.681</v>
      </c>
      <c r="J28" s="8">
        <v>25280</v>
      </c>
      <c r="K28" s="8">
        <v>568</v>
      </c>
      <c r="L28">
        <v>2.528</v>
      </c>
      <c r="M28" s="8">
        <v>94090</v>
      </c>
      <c r="N28" s="8">
        <v>528</v>
      </c>
      <c r="O28">
        <v>9.4090000000000007</v>
      </c>
      <c r="P28" s="8">
        <v>67770</v>
      </c>
      <c r="Q28" s="8">
        <v>262.5</v>
      </c>
      <c r="R28">
        <v>6.7770000000000001</v>
      </c>
      <c r="S28" s="8">
        <v>14390</v>
      </c>
      <c r="T28" s="8">
        <v>124.4</v>
      </c>
      <c r="U28">
        <v>1.4390000000000001</v>
      </c>
      <c r="V28" s="8">
        <v>12340</v>
      </c>
      <c r="W28" s="8">
        <v>112.7</v>
      </c>
      <c r="X28">
        <v>1.234</v>
      </c>
    </row>
    <row r="30" spans="1:27" ht="15" thickBot="1" x14ac:dyDescent="0.4">
      <c r="F30">
        <f>F21*86400</f>
        <v>172906.00000000003</v>
      </c>
      <c r="G30" t="s">
        <v>18</v>
      </c>
      <c r="H30" t="s">
        <v>24</v>
      </c>
      <c r="J30" t="s">
        <v>1</v>
      </c>
      <c r="K30" t="s">
        <v>23</v>
      </c>
      <c r="M30" t="s">
        <v>19</v>
      </c>
      <c r="N30" t="s">
        <v>53</v>
      </c>
      <c r="P30" t="s">
        <v>198</v>
      </c>
      <c r="Q30" t="s">
        <v>199</v>
      </c>
      <c r="S30" t="s">
        <v>200</v>
      </c>
      <c r="T30" t="s">
        <v>201</v>
      </c>
      <c r="V30" t="s">
        <v>21</v>
      </c>
      <c r="W30" t="s">
        <v>54</v>
      </c>
      <c r="Y30" t="s">
        <v>56</v>
      </c>
      <c r="Z30" t="s">
        <v>57</v>
      </c>
    </row>
    <row r="31" spans="1:27" ht="15" thickBot="1" x14ac:dyDescent="0.4">
      <c r="A31" s="13" t="s">
        <v>30</v>
      </c>
      <c r="B31" s="13" t="s">
        <v>29</v>
      </c>
      <c r="C31" s="13" t="s">
        <v>31</v>
      </c>
      <c r="D31" s="13" t="s">
        <v>27</v>
      </c>
      <c r="E31" s="13" t="s">
        <v>25</v>
      </c>
      <c r="F31" s="30" t="s">
        <v>28</v>
      </c>
      <c r="G31" t="s">
        <v>188</v>
      </c>
      <c r="H31" t="s">
        <v>189</v>
      </c>
      <c r="I31" t="s">
        <v>190</v>
      </c>
      <c r="J31" t="s">
        <v>188</v>
      </c>
      <c r="K31" t="s">
        <v>189</v>
      </c>
      <c r="L31" t="s">
        <v>190</v>
      </c>
      <c r="M31" t="s">
        <v>188</v>
      </c>
      <c r="N31" t="s">
        <v>189</v>
      </c>
      <c r="O31" t="s">
        <v>190</v>
      </c>
      <c r="P31" t="s">
        <v>188</v>
      </c>
      <c r="Q31" t="s">
        <v>189</v>
      </c>
      <c r="R31" t="s">
        <v>190</v>
      </c>
      <c r="S31" t="s">
        <v>188</v>
      </c>
      <c r="T31" t="s">
        <v>189</v>
      </c>
      <c r="U31" t="s">
        <v>190</v>
      </c>
      <c r="V31" t="s">
        <v>188</v>
      </c>
      <c r="W31" t="s">
        <v>189</v>
      </c>
      <c r="X31" t="s">
        <v>190</v>
      </c>
      <c r="Y31" t="s">
        <v>188</v>
      </c>
      <c r="Z31" t="s">
        <v>189</v>
      </c>
      <c r="AA31" t="s">
        <v>190</v>
      </c>
    </row>
    <row r="32" spans="1:27" ht="15" thickBot="1" x14ac:dyDescent="0.4">
      <c r="A32" s="10" t="s">
        <v>187</v>
      </c>
      <c r="B32" s="11" t="s">
        <v>42</v>
      </c>
      <c r="C32" s="11" t="s">
        <v>76</v>
      </c>
      <c r="D32" s="11">
        <v>4.0795999999999999E-2</v>
      </c>
      <c r="E32" s="20">
        <v>44893</v>
      </c>
      <c r="F32" s="31">
        <v>2.0012268518518521</v>
      </c>
      <c r="I32">
        <v>0</v>
      </c>
      <c r="J32" s="8">
        <v>1442</v>
      </c>
      <c r="K32" s="8">
        <v>75.23</v>
      </c>
      <c r="L32">
        <v>8.3397915630458175E-3</v>
      </c>
      <c r="M32" s="8">
        <v>3016</v>
      </c>
      <c r="N32" s="8">
        <v>69.94</v>
      </c>
      <c r="O32">
        <v>1.7443003713000126E-2</v>
      </c>
      <c r="P32" s="8">
        <v>540.9</v>
      </c>
      <c r="Q32" s="8">
        <v>31.39</v>
      </c>
      <c r="R32">
        <v>3.1282893595363953E-3</v>
      </c>
      <c r="U32">
        <v>0</v>
      </c>
      <c r="V32" s="8">
        <v>4362</v>
      </c>
      <c r="W32" s="8">
        <v>255.6</v>
      </c>
      <c r="X32">
        <v>2.5227580303748859E-2</v>
      </c>
      <c r="Y32" s="8">
        <v>2117</v>
      </c>
      <c r="Z32" s="8">
        <v>272.3</v>
      </c>
      <c r="AA32">
        <v>1.2243646837009705E-2</v>
      </c>
    </row>
    <row r="33" spans="1:27" x14ac:dyDescent="0.35">
      <c r="A33" t="s">
        <v>191</v>
      </c>
      <c r="B33" t="s">
        <v>42</v>
      </c>
      <c r="C33" t="s">
        <v>76</v>
      </c>
      <c r="D33">
        <v>1</v>
      </c>
      <c r="E33" s="1">
        <v>44608</v>
      </c>
      <c r="F33">
        <v>0.11574074074074074</v>
      </c>
      <c r="I33">
        <v>0</v>
      </c>
      <c r="J33" s="8">
        <v>7500</v>
      </c>
      <c r="K33" s="8">
        <v>88.77</v>
      </c>
      <c r="L33">
        <v>0.75</v>
      </c>
      <c r="M33" s="8">
        <v>23850</v>
      </c>
      <c r="N33" s="8">
        <v>155.6</v>
      </c>
      <c r="O33">
        <v>2.3849999999999998</v>
      </c>
      <c r="P33" s="8">
        <v>4930</v>
      </c>
      <c r="Q33" s="8">
        <v>72.83</v>
      </c>
      <c r="R33">
        <v>0.49299999999999999</v>
      </c>
      <c r="S33" s="8">
        <v>3954</v>
      </c>
      <c r="T33" s="8">
        <v>63.79</v>
      </c>
      <c r="U33">
        <v>0.39539999999999997</v>
      </c>
      <c r="V33" s="8">
        <v>32060</v>
      </c>
      <c r="W33" s="8">
        <v>317.2</v>
      </c>
      <c r="X33">
        <v>3.206</v>
      </c>
      <c r="Y33" s="8">
        <v>7652</v>
      </c>
      <c r="Z33" s="8">
        <v>95.37</v>
      </c>
      <c r="AA33">
        <v>0.76519999999999999</v>
      </c>
    </row>
    <row r="34" spans="1:27" x14ac:dyDescent="0.35">
      <c r="A34" t="s">
        <v>195</v>
      </c>
      <c r="B34" t="s">
        <v>42</v>
      </c>
      <c r="C34" t="s">
        <v>76</v>
      </c>
      <c r="D34">
        <v>5.7541000000000002E-2</v>
      </c>
      <c r="E34" s="1">
        <v>44901</v>
      </c>
      <c r="F34">
        <v>0.11574074074074074</v>
      </c>
      <c r="I34">
        <v>0</v>
      </c>
      <c r="J34" s="8">
        <v>2025</v>
      </c>
      <c r="K34" s="8">
        <v>79.38</v>
      </c>
      <c r="L34">
        <v>0.20250000000000001</v>
      </c>
      <c r="O34">
        <v>0</v>
      </c>
      <c r="R34">
        <v>0</v>
      </c>
      <c r="U34">
        <v>0</v>
      </c>
      <c r="X34">
        <v>0</v>
      </c>
      <c r="Y34" s="8">
        <v>6128</v>
      </c>
      <c r="Z34" s="8">
        <v>97.98</v>
      </c>
      <c r="AA34">
        <v>0.61280000000000001</v>
      </c>
    </row>
    <row r="35" spans="1:27" x14ac:dyDescent="0.35">
      <c r="A35" t="s">
        <v>193</v>
      </c>
      <c r="B35" t="s">
        <v>42</v>
      </c>
      <c r="C35" t="s">
        <v>76</v>
      </c>
      <c r="D35">
        <v>5.7541000000000002E-2</v>
      </c>
      <c r="E35" s="1">
        <v>44594</v>
      </c>
      <c r="F35">
        <v>1.1574074074074074</v>
      </c>
      <c r="G35" s="8">
        <v>185800</v>
      </c>
      <c r="H35" s="8">
        <v>433.1</v>
      </c>
      <c r="I35">
        <v>1.8580000000000001</v>
      </c>
      <c r="L35">
        <v>0</v>
      </c>
      <c r="O35">
        <v>0</v>
      </c>
      <c r="R35">
        <v>0</v>
      </c>
      <c r="S35" s="8">
        <v>26.05</v>
      </c>
      <c r="T35" s="8">
        <v>11.95</v>
      </c>
      <c r="U35">
        <v>2.6049999999999999E-4</v>
      </c>
      <c r="X35">
        <v>0</v>
      </c>
      <c r="AA35">
        <v>0</v>
      </c>
    </row>
    <row r="36" spans="1:27" x14ac:dyDescent="0.35">
      <c r="A36" t="s">
        <v>194</v>
      </c>
      <c r="B36" t="s">
        <v>42</v>
      </c>
      <c r="C36" t="s">
        <v>76</v>
      </c>
      <c r="D36">
        <v>5.0090000000000003E-2</v>
      </c>
      <c r="E36" s="1">
        <v>44596</v>
      </c>
      <c r="F36">
        <v>1.1574074074074074</v>
      </c>
      <c r="I36">
        <v>0</v>
      </c>
      <c r="J36" s="8">
        <v>1552</v>
      </c>
      <c r="K36" s="8">
        <v>145.5</v>
      </c>
      <c r="L36">
        <v>1.5520000000000001E-2</v>
      </c>
      <c r="M36" s="8">
        <v>5861</v>
      </c>
      <c r="N36" s="8">
        <v>130.6</v>
      </c>
      <c r="O36">
        <v>5.8610000000000002E-2</v>
      </c>
      <c r="R36">
        <v>0</v>
      </c>
      <c r="U36">
        <v>0</v>
      </c>
      <c r="V36" s="8">
        <v>8576</v>
      </c>
      <c r="W36" s="8">
        <v>465.7</v>
      </c>
      <c r="X36">
        <v>8.5760000000000003E-2</v>
      </c>
      <c r="Y36" s="8">
        <v>3535</v>
      </c>
      <c r="Z36" s="8">
        <v>645.5</v>
      </c>
      <c r="AA36">
        <v>3.5349999999999999E-2</v>
      </c>
    </row>
    <row r="37" spans="1:27" x14ac:dyDescent="0.35">
      <c r="A37" t="s">
        <v>192</v>
      </c>
      <c r="B37" t="s">
        <v>42</v>
      </c>
      <c r="C37" t="s">
        <v>76</v>
      </c>
      <c r="D37">
        <v>5.0090000000000003E-2</v>
      </c>
      <c r="E37" s="1">
        <v>44901</v>
      </c>
      <c r="F37">
        <v>0.11574074074074074</v>
      </c>
      <c r="I37">
        <v>0</v>
      </c>
      <c r="J37" s="8">
        <v>3295</v>
      </c>
      <c r="K37" s="8">
        <v>103.5</v>
      </c>
      <c r="L37">
        <v>0.32950000000000002</v>
      </c>
      <c r="O37">
        <v>0</v>
      </c>
      <c r="R37">
        <v>0</v>
      </c>
      <c r="U37">
        <v>0</v>
      </c>
      <c r="X37">
        <v>0</v>
      </c>
      <c r="Y37" s="8">
        <v>6547</v>
      </c>
      <c r="Z37" s="8">
        <v>114.7</v>
      </c>
      <c r="AA37">
        <v>0.65469999999999995</v>
      </c>
    </row>
    <row r="38" spans="1:27" x14ac:dyDescent="0.35">
      <c r="A38" t="s">
        <v>196</v>
      </c>
      <c r="B38" t="s">
        <v>42</v>
      </c>
      <c r="C38" t="s">
        <v>76</v>
      </c>
      <c r="D38">
        <v>6.4928E-2</v>
      </c>
      <c r="E38" s="1">
        <v>44592</v>
      </c>
      <c r="F38">
        <v>1.0919328703703706</v>
      </c>
      <c r="I38">
        <v>0</v>
      </c>
      <c r="J38" s="8">
        <v>125000</v>
      </c>
      <c r="K38" s="8">
        <v>1288</v>
      </c>
      <c r="L38">
        <v>1.3249525666981121</v>
      </c>
      <c r="M38" s="8">
        <v>466200</v>
      </c>
      <c r="N38" s="8">
        <v>690.3</v>
      </c>
      <c r="O38">
        <v>4.9415430927572794</v>
      </c>
      <c r="P38" s="8">
        <v>99070</v>
      </c>
      <c r="Q38" s="8">
        <v>326.8</v>
      </c>
      <c r="R38">
        <v>1.0501044062622558</v>
      </c>
      <c r="S38" s="8">
        <v>86170</v>
      </c>
      <c r="T38" s="8">
        <v>297.60000000000002</v>
      </c>
      <c r="U38">
        <v>0.91336930137901062</v>
      </c>
      <c r="V38" s="8">
        <v>671300</v>
      </c>
      <c r="W38" s="8">
        <v>1412</v>
      </c>
      <c r="X38">
        <v>7.1155252641955418</v>
      </c>
      <c r="Y38" s="8">
        <v>188700</v>
      </c>
      <c r="Z38" s="8">
        <v>469.7</v>
      </c>
      <c r="AA38">
        <v>2.0001483946874701</v>
      </c>
    </row>
    <row r="39" spans="1:27" x14ac:dyDescent="0.35">
      <c r="A39" t="s">
        <v>197</v>
      </c>
      <c r="B39" t="s">
        <v>42</v>
      </c>
      <c r="C39" t="s">
        <v>76</v>
      </c>
      <c r="D39">
        <v>6.4928E-2</v>
      </c>
      <c r="E39" s="1">
        <v>44608</v>
      </c>
      <c r="F39">
        <v>0.11574074074074074</v>
      </c>
      <c r="I39">
        <v>0</v>
      </c>
      <c r="J39" s="8">
        <v>16810</v>
      </c>
      <c r="K39" s="8">
        <v>486.8</v>
      </c>
      <c r="L39">
        <v>1.681</v>
      </c>
      <c r="M39" s="8">
        <v>67770</v>
      </c>
      <c r="N39" s="8">
        <v>262.5</v>
      </c>
      <c r="O39">
        <v>6.7770000000000001</v>
      </c>
      <c r="P39" s="8">
        <v>14390</v>
      </c>
      <c r="Q39" s="8">
        <v>124.4</v>
      </c>
      <c r="R39">
        <v>1.4390000000000001</v>
      </c>
      <c r="S39" s="8">
        <v>12340</v>
      </c>
      <c r="T39" s="8">
        <v>112.7</v>
      </c>
      <c r="U39">
        <v>1.234</v>
      </c>
      <c r="V39" s="8">
        <v>94090</v>
      </c>
      <c r="W39" s="8">
        <v>528</v>
      </c>
      <c r="X39">
        <v>9.4090000000000007</v>
      </c>
      <c r="Y39" s="8">
        <v>25280</v>
      </c>
      <c r="Z39" s="8">
        <v>568</v>
      </c>
      <c r="AA39">
        <v>2.528</v>
      </c>
    </row>
    <row r="40" spans="1:27" x14ac:dyDescent="0.35">
      <c r="A40" t="s">
        <v>202</v>
      </c>
      <c r="B40" t="s">
        <v>42</v>
      </c>
      <c r="C40" t="s">
        <v>76</v>
      </c>
      <c r="D40">
        <v>2.6936000000000002E-2</v>
      </c>
      <c r="E40" s="1">
        <v>44895</v>
      </c>
      <c r="F40">
        <v>1.0596064814814814</v>
      </c>
      <c r="I40">
        <v>0</v>
      </c>
      <c r="J40" s="8">
        <v>2212</v>
      </c>
      <c r="K40" s="8">
        <v>72.89</v>
      </c>
      <c r="L40">
        <v>2.4161660294920808E-2</v>
      </c>
      <c r="M40" s="8">
        <v>2082</v>
      </c>
      <c r="N40" s="8">
        <v>54.25</v>
      </c>
      <c r="O40">
        <v>2.2741671217913709E-2</v>
      </c>
      <c r="R40">
        <v>0</v>
      </c>
      <c r="U40">
        <v>0</v>
      </c>
      <c r="V40" s="8">
        <v>2790</v>
      </c>
      <c r="W40" s="8">
        <v>87.71</v>
      </c>
      <c r="X40">
        <v>3.0475150191152375E-2</v>
      </c>
      <c r="Y40" s="8">
        <v>1289</v>
      </c>
      <c r="Z40" s="8">
        <v>224.7</v>
      </c>
      <c r="AA40">
        <v>1.4079737848170399E-2</v>
      </c>
    </row>
    <row r="42" spans="1:27" ht="15" thickBot="1" x14ac:dyDescent="0.4">
      <c r="G42" t="s">
        <v>1</v>
      </c>
      <c r="H42" t="s">
        <v>23</v>
      </c>
      <c r="J42" t="s">
        <v>56</v>
      </c>
      <c r="K42" t="s">
        <v>57</v>
      </c>
      <c r="M42" t="s">
        <v>21</v>
      </c>
      <c r="N42" t="s">
        <v>54</v>
      </c>
      <c r="P42" t="s">
        <v>19</v>
      </c>
      <c r="Q42" t="s">
        <v>53</v>
      </c>
      <c r="S42" t="s">
        <v>198</v>
      </c>
      <c r="T42" t="s">
        <v>199</v>
      </c>
      <c r="V42" t="s">
        <v>200</v>
      </c>
      <c r="W42" t="s">
        <v>201</v>
      </c>
    </row>
    <row r="43" spans="1:27" ht="15" thickBot="1" x14ac:dyDescent="0.4">
      <c r="A43" s="13" t="s">
        <v>30</v>
      </c>
      <c r="B43" s="13" t="s">
        <v>29</v>
      </c>
      <c r="C43" s="13" t="s">
        <v>31</v>
      </c>
      <c r="D43" s="13" t="s">
        <v>27</v>
      </c>
      <c r="E43" s="13" t="s">
        <v>25</v>
      </c>
      <c r="F43" s="30" t="s">
        <v>28</v>
      </c>
      <c r="G43" t="s">
        <v>188</v>
      </c>
      <c r="H43" t="s">
        <v>189</v>
      </c>
      <c r="I43" t="s">
        <v>190</v>
      </c>
      <c r="J43" t="s">
        <v>188</v>
      </c>
      <c r="K43" t="s">
        <v>189</v>
      </c>
      <c r="L43" t="s">
        <v>190</v>
      </c>
      <c r="M43" t="s">
        <v>188</v>
      </c>
      <c r="N43" t="s">
        <v>189</v>
      </c>
      <c r="O43" t="s">
        <v>190</v>
      </c>
      <c r="P43" t="s">
        <v>188</v>
      </c>
      <c r="Q43" t="s">
        <v>189</v>
      </c>
      <c r="R43" t="s">
        <v>190</v>
      </c>
      <c r="S43" t="s">
        <v>188</v>
      </c>
      <c r="T43" t="s">
        <v>189</v>
      </c>
      <c r="U43" t="s">
        <v>190</v>
      </c>
      <c r="V43" t="s">
        <v>188</v>
      </c>
      <c r="W43" t="s">
        <v>189</v>
      </c>
      <c r="X43" t="s">
        <v>190</v>
      </c>
    </row>
    <row r="44" spans="1:27" ht="15" thickBot="1" x14ac:dyDescent="0.4">
      <c r="A44" s="10" t="s">
        <v>187</v>
      </c>
      <c r="B44" s="11" t="s">
        <v>42</v>
      </c>
      <c r="C44" s="11" t="s">
        <v>76</v>
      </c>
      <c r="D44" s="11">
        <v>4.0795999999999999E-2</v>
      </c>
      <c r="E44" s="20">
        <v>44893</v>
      </c>
      <c r="F44" s="31">
        <v>2.0012268518518521</v>
      </c>
      <c r="G44" s="8">
        <v>1442</v>
      </c>
      <c r="H44" s="8">
        <v>75.23</v>
      </c>
      <c r="I44">
        <v>8.3397915630458175E-3</v>
      </c>
      <c r="J44" s="8">
        <v>2117</v>
      </c>
      <c r="K44" s="8">
        <v>272.3</v>
      </c>
      <c r="L44">
        <v>1.2243646837009705E-2</v>
      </c>
      <c r="M44" s="8">
        <v>4362</v>
      </c>
      <c r="N44" s="8">
        <v>255.6</v>
      </c>
      <c r="O44">
        <v>2.5227580303748859E-2</v>
      </c>
      <c r="P44" s="8">
        <v>3016</v>
      </c>
      <c r="Q44" s="8">
        <v>69.94</v>
      </c>
      <c r="R44">
        <v>1.7443003713000126E-2</v>
      </c>
      <c r="S44" s="8">
        <v>540.9</v>
      </c>
      <c r="T44" s="8">
        <v>31.39</v>
      </c>
      <c r="U44">
        <v>3.1282893595363953E-3</v>
      </c>
      <c r="X44">
        <v>0</v>
      </c>
    </row>
    <row r="45" spans="1:27" x14ac:dyDescent="0.35">
      <c r="A45" t="s">
        <v>191</v>
      </c>
      <c r="B45" t="s">
        <v>42</v>
      </c>
      <c r="C45" t="s">
        <v>76</v>
      </c>
      <c r="D45">
        <v>1</v>
      </c>
      <c r="E45" s="1">
        <v>44608</v>
      </c>
      <c r="F45">
        <v>0.11574074074074074</v>
      </c>
      <c r="G45" s="8">
        <v>7500</v>
      </c>
      <c r="H45" s="8">
        <v>88.77</v>
      </c>
      <c r="I45">
        <v>0.75</v>
      </c>
      <c r="J45" s="8">
        <v>7652</v>
      </c>
      <c r="K45" s="8">
        <v>95.37</v>
      </c>
      <c r="L45">
        <v>0.76519999999999999</v>
      </c>
      <c r="M45" s="8">
        <v>32060</v>
      </c>
      <c r="N45" s="8">
        <v>317.2</v>
      </c>
      <c r="O45">
        <v>3.206</v>
      </c>
      <c r="P45" s="8">
        <v>23850</v>
      </c>
      <c r="Q45" s="8">
        <v>155.6</v>
      </c>
      <c r="R45">
        <v>2.3849999999999998</v>
      </c>
      <c r="S45" s="8">
        <v>4930</v>
      </c>
      <c r="T45" s="8">
        <v>72.83</v>
      </c>
      <c r="U45">
        <v>0.49299999999999999</v>
      </c>
      <c r="V45" s="8">
        <v>3954</v>
      </c>
      <c r="W45" s="8">
        <v>63.79</v>
      </c>
      <c r="X45">
        <v>0.39539999999999997</v>
      </c>
    </row>
    <row r="46" spans="1:27" x14ac:dyDescent="0.35">
      <c r="A46" t="s">
        <v>195</v>
      </c>
      <c r="B46" t="s">
        <v>42</v>
      </c>
      <c r="C46" t="s">
        <v>76</v>
      </c>
      <c r="D46">
        <v>5.7541000000000002E-2</v>
      </c>
      <c r="E46" s="1">
        <v>44901</v>
      </c>
      <c r="F46">
        <v>0.11574074074074074</v>
      </c>
      <c r="G46" s="8">
        <v>2025</v>
      </c>
      <c r="H46" s="8">
        <v>79.38</v>
      </c>
      <c r="I46">
        <v>0.20250000000000001</v>
      </c>
      <c r="J46" s="8">
        <v>6128</v>
      </c>
      <c r="K46" s="8">
        <v>97.98</v>
      </c>
      <c r="L46">
        <v>0.61280000000000001</v>
      </c>
      <c r="O46">
        <v>0</v>
      </c>
      <c r="R46">
        <v>0</v>
      </c>
      <c r="U46">
        <v>0</v>
      </c>
      <c r="X46">
        <v>0</v>
      </c>
    </row>
    <row r="47" spans="1:27" x14ac:dyDescent="0.35">
      <c r="A47" t="s">
        <v>193</v>
      </c>
      <c r="B47" t="s">
        <v>42</v>
      </c>
      <c r="C47" t="s">
        <v>76</v>
      </c>
      <c r="D47">
        <v>5.7541000000000002E-2</v>
      </c>
      <c r="E47" s="1">
        <v>44594</v>
      </c>
      <c r="F47">
        <v>1.1574074074074074</v>
      </c>
      <c r="I47">
        <v>0</v>
      </c>
      <c r="L47">
        <v>0</v>
      </c>
      <c r="O47">
        <v>0</v>
      </c>
      <c r="R47">
        <v>0</v>
      </c>
      <c r="U47">
        <v>0</v>
      </c>
      <c r="V47" s="8">
        <v>26.05</v>
      </c>
      <c r="W47" s="8">
        <v>11.95</v>
      </c>
      <c r="X47">
        <v>2.6049999999999999E-4</v>
      </c>
    </row>
    <row r="48" spans="1:27" x14ac:dyDescent="0.35">
      <c r="A48" t="s">
        <v>194</v>
      </c>
      <c r="B48" t="s">
        <v>42</v>
      </c>
      <c r="C48" t="s">
        <v>76</v>
      </c>
      <c r="D48">
        <v>5.0090000000000003E-2</v>
      </c>
      <c r="E48" s="1">
        <v>44596</v>
      </c>
      <c r="F48">
        <v>1.1574074074074074</v>
      </c>
      <c r="G48" s="8">
        <v>1552</v>
      </c>
      <c r="H48" s="8">
        <v>145.5</v>
      </c>
      <c r="I48">
        <v>1.5520000000000001E-2</v>
      </c>
      <c r="J48" s="8">
        <v>3535</v>
      </c>
      <c r="K48" s="8">
        <v>645.5</v>
      </c>
      <c r="L48">
        <v>3.5349999999999999E-2</v>
      </c>
      <c r="M48" s="8">
        <v>8576</v>
      </c>
      <c r="N48" s="8">
        <v>465.7</v>
      </c>
      <c r="O48">
        <v>8.5760000000000003E-2</v>
      </c>
      <c r="P48" s="8">
        <v>5861</v>
      </c>
      <c r="Q48" s="8">
        <v>130.6</v>
      </c>
      <c r="R48">
        <v>5.8610000000000002E-2</v>
      </c>
      <c r="U48">
        <v>0</v>
      </c>
      <c r="X48">
        <v>0</v>
      </c>
    </row>
    <row r="49" spans="1:27" x14ac:dyDescent="0.35">
      <c r="A49" t="s">
        <v>192</v>
      </c>
      <c r="B49" t="s">
        <v>42</v>
      </c>
      <c r="C49" t="s">
        <v>76</v>
      </c>
      <c r="D49">
        <v>5.0090000000000003E-2</v>
      </c>
      <c r="E49" s="1">
        <v>44901</v>
      </c>
      <c r="F49">
        <v>0.11574074074074074</v>
      </c>
      <c r="G49" s="8">
        <v>3295</v>
      </c>
      <c r="H49" s="8">
        <v>103.5</v>
      </c>
      <c r="I49">
        <v>0.32950000000000002</v>
      </c>
      <c r="J49" s="8">
        <v>6547</v>
      </c>
      <c r="K49" s="8">
        <v>114.7</v>
      </c>
      <c r="L49">
        <v>0.65469999999999995</v>
      </c>
      <c r="O49">
        <v>0</v>
      </c>
      <c r="R49">
        <v>0</v>
      </c>
      <c r="U49">
        <v>0</v>
      </c>
      <c r="X49">
        <v>0</v>
      </c>
    </row>
    <row r="50" spans="1:27" x14ac:dyDescent="0.35">
      <c r="A50" t="s">
        <v>196</v>
      </c>
      <c r="B50" t="s">
        <v>42</v>
      </c>
      <c r="C50" t="s">
        <v>76</v>
      </c>
      <c r="D50">
        <v>6.4928E-2</v>
      </c>
      <c r="E50" s="1">
        <v>44592</v>
      </c>
      <c r="F50">
        <v>1.0919328703703706</v>
      </c>
      <c r="G50" s="8">
        <v>125000</v>
      </c>
      <c r="H50" s="8">
        <v>1288</v>
      </c>
      <c r="I50">
        <v>1.3249525666981121</v>
      </c>
      <c r="J50" s="8">
        <v>188700</v>
      </c>
      <c r="K50" s="8">
        <v>469.7</v>
      </c>
      <c r="L50">
        <v>2.0001483946874701</v>
      </c>
      <c r="M50" s="8">
        <v>671300</v>
      </c>
      <c r="N50" s="8">
        <v>1412</v>
      </c>
      <c r="O50">
        <v>7.1155252641955418</v>
      </c>
      <c r="P50" s="8">
        <v>466200</v>
      </c>
      <c r="Q50" s="8">
        <v>690.3</v>
      </c>
      <c r="R50">
        <v>4.9415430927572794</v>
      </c>
      <c r="S50" s="8">
        <v>99070</v>
      </c>
      <c r="T50" s="8">
        <v>326.8</v>
      </c>
      <c r="U50">
        <v>1.0501044062622558</v>
      </c>
      <c r="V50" s="8">
        <v>86170</v>
      </c>
      <c r="W50" s="8">
        <v>297.60000000000002</v>
      </c>
      <c r="X50">
        <v>0.91336930137901062</v>
      </c>
    </row>
    <row r="51" spans="1:27" x14ac:dyDescent="0.35">
      <c r="A51" t="s">
        <v>197</v>
      </c>
      <c r="B51" t="s">
        <v>42</v>
      </c>
      <c r="C51" t="s">
        <v>76</v>
      </c>
      <c r="D51">
        <v>6.4928E-2</v>
      </c>
      <c r="E51" s="1">
        <v>44608</v>
      </c>
      <c r="F51">
        <v>0.11574074074074074</v>
      </c>
      <c r="G51" s="8">
        <v>16810</v>
      </c>
      <c r="H51" s="8">
        <v>486.8</v>
      </c>
      <c r="I51">
        <v>1.681</v>
      </c>
      <c r="J51" s="8">
        <v>25280</v>
      </c>
      <c r="K51" s="8">
        <v>568</v>
      </c>
      <c r="L51">
        <v>2.528</v>
      </c>
      <c r="M51" s="8">
        <v>94090</v>
      </c>
      <c r="N51" s="8">
        <v>528</v>
      </c>
      <c r="O51">
        <v>9.4090000000000007</v>
      </c>
      <c r="P51" s="8">
        <v>67770</v>
      </c>
      <c r="Q51" s="8">
        <v>262.5</v>
      </c>
      <c r="R51">
        <v>6.7770000000000001</v>
      </c>
      <c r="S51" s="8">
        <v>14390</v>
      </c>
      <c r="T51" s="8">
        <v>124.4</v>
      </c>
      <c r="U51">
        <v>1.4390000000000001</v>
      </c>
      <c r="V51" s="8">
        <v>12340</v>
      </c>
      <c r="W51" s="8">
        <v>112.7</v>
      </c>
      <c r="X51">
        <v>1.234</v>
      </c>
    </row>
    <row r="52" spans="1:27" x14ac:dyDescent="0.35">
      <c r="A52" t="s">
        <v>202</v>
      </c>
      <c r="B52" t="s">
        <v>42</v>
      </c>
      <c r="C52" t="s">
        <v>76</v>
      </c>
      <c r="D52">
        <v>2.6936000000000002E-2</v>
      </c>
      <c r="E52" s="1">
        <v>44895</v>
      </c>
      <c r="F52">
        <v>1.0596064814814814</v>
      </c>
      <c r="G52" s="8">
        <v>2212</v>
      </c>
      <c r="H52" s="8">
        <v>72.89</v>
      </c>
      <c r="I52">
        <v>2.4161660294920808E-2</v>
      </c>
      <c r="J52" s="8">
        <v>1289</v>
      </c>
      <c r="K52" s="8">
        <v>224.7</v>
      </c>
      <c r="L52">
        <v>1.4079737848170399E-2</v>
      </c>
      <c r="M52" s="8">
        <v>2790</v>
      </c>
      <c r="N52" s="8">
        <v>87.71</v>
      </c>
      <c r="O52">
        <v>3.0475150191152375E-2</v>
      </c>
      <c r="P52" s="8">
        <v>2082</v>
      </c>
      <c r="Q52" s="8">
        <v>54.25</v>
      </c>
      <c r="R52">
        <v>2.2741671217913709E-2</v>
      </c>
      <c r="S52" s="8">
        <v>363</v>
      </c>
      <c r="U52">
        <v>0</v>
      </c>
      <c r="V52" s="8">
        <v>163.1</v>
      </c>
      <c r="X52">
        <v>0</v>
      </c>
    </row>
    <row r="53" spans="1:27" x14ac:dyDescent="0.35">
      <c r="A53" t="s">
        <v>203</v>
      </c>
      <c r="B53" t="s">
        <v>42</v>
      </c>
      <c r="C53" t="s">
        <v>76</v>
      </c>
      <c r="D53">
        <v>2.6936000000000002E-2</v>
      </c>
      <c r="E53" s="1">
        <v>44900</v>
      </c>
      <c r="F53">
        <v>0.11574074074074074</v>
      </c>
      <c r="G53" s="8">
        <v>4690</v>
      </c>
      <c r="H53" s="8">
        <v>246.8</v>
      </c>
      <c r="I53">
        <v>0.46899999999999997</v>
      </c>
      <c r="J53" s="8">
        <v>6979</v>
      </c>
      <c r="K53" s="8">
        <v>257.8</v>
      </c>
      <c r="L53">
        <v>0.69789999999999996</v>
      </c>
      <c r="M53" s="8">
        <v>34290</v>
      </c>
      <c r="O53">
        <v>0</v>
      </c>
      <c r="P53" s="8">
        <v>26140</v>
      </c>
      <c r="R53">
        <v>0</v>
      </c>
      <c r="S53" s="8">
        <v>5521</v>
      </c>
      <c r="U53">
        <v>0</v>
      </c>
      <c r="V53" s="8">
        <v>4449</v>
      </c>
      <c r="X53">
        <v>0</v>
      </c>
    </row>
    <row r="55" spans="1:27" ht="15" thickBot="1" x14ac:dyDescent="0.4">
      <c r="G55" t="s">
        <v>18</v>
      </c>
      <c r="H55" t="s">
        <v>24</v>
      </c>
      <c r="J55" t="s">
        <v>1</v>
      </c>
      <c r="K55" t="s">
        <v>23</v>
      </c>
      <c r="M55" t="s">
        <v>19</v>
      </c>
      <c r="N55" t="s">
        <v>53</v>
      </c>
      <c r="P55" t="s">
        <v>198</v>
      </c>
      <c r="Q55" t="s">
        <v>199</v>
      </c>
      <c r="S55" t="s">
        <v>200</v>
      </c>
      <c r="T55" t="s">
        <v>201</v>
      </c>
      <c r="V55" t="s">
        <v>21</v>
      </c>
      <c r="W55" t="s">
        <v>54</v>
      </c>
      <c r="Y55" t="s">
        <v>56</v>
      </c>
      <c r="Z55" t="s">
        <v>57</v>
      </c>
    </row>
    <row r="56" spans="1:27" ht="15" thickBot="1" x14ac:dyDescent="0.4">
      <c r="A56" s="13" t="s">
        <v>30</v>
      </c>
      <c r="B56" s="13" t="s">
        <v>29</v>
      </c>
      <c r="C56" s="13" t="s">
        <v>31</v>
      </c>
      <c r="D56" s="13" t="s">
        <v>27</v>
      </c>
      <c r="E56" s="13" t="s">
        <v>25</v>
      </c>
      <c r="F56" s="30" t="s">
        <v>28</v>
      </c>
      <c r="G56" t="s">
        <v>188</v>
      </c>
      <c r="H56" t="s">
        <v>189</v>
      </c>
      <c r="I56" t="s">
        <v>190</v>
      </c>
      <c r="J56" t="s">
        <v>188</v>
      </c>
      <c r="K56" t="s">
        <v>189</v>
      </c>
      <c r="L56" t="s">
        <v>190</v>
      </c>
      <c r="M56" t="s">
        <v>188</v>
      </c>
      <c r="N56" t="s">
        <v>189</v>
      </c>
      <c r="O56" t="s">
        <v>190</v>
      </c>
      <c r="P56" t="s">
        <v>188</v>
      </c>
      <c r="Q56" t="s">
        <v>189</v>
      </c>
      <c r="R56" t="s">
        <v>190</v>
      </c>
      <c r="S56" t="s">
        <v>188</v>
      </c>
      <c r="T56" t="s">
        <v>189</v>
      </c>
      <c r="U56" t="s">
        <v>190</v>
      </c>
      <c r="V56" t="s">
        <v>188</v>
      </c>
      <c r="W56" t="s">
        <v>189</v>
      </c>
      <c r="X56" t="s">
        <v>190</v>
      </c>
      <c r="Y56" t="s">
        <v>188</v>
      </c>
      <c r="Z56" t="s">
        <v>189</v>
      </c>
      <c r="AA56" t="s">
        <v>190</v>
      </c>
    </row>
    <row r="57" spans="1:27" ht="15" thickBot="1" x14ac:dyDescent="0.4">
      <c r="A57" s="10" t="s">
        <v>187</v>
      </c>
      <c r="B57" s="11" t="s">
        <v>58</v>
      </c>
      <c r="C57" s="11" t="s">
        <v>65</v>
      </c>
      <c r="D57" s="11">
        <v>4.0795999999999999E-2</v>
      </c>
      <c r="E57" s="20">
        <v>44890</v>
      </c>
      <c r="F57" s="31">
        <v>2.7263773148148149</v>
      </c>
      <c r="G57" s="8">
        <v>5535</v>
      </c>
      <c r="H57" s="8">
        <v>142.80000000000001</v>
      </c>
      <c r="I57">
        <v>2.3497297916870084E-2</v>
      </c>
      <c r="J57" s="8">
        <v>547</v>
      </c>
      <c r="K57" s="8">
        <v>46.32</v>
      </c>
      <c r="L57">
        <v>2.3221358555606027E-3</v>
      </c>
      <c r="M57" s="8">
        <v>1835</v>
      </c>
      <c r="N57" s="8">
        <v>54.12</v>
      </c>
      <c r="O57">
        <v>7.7899804295314548E-3</v>
      </c>
      <c r="P57" s="8">
        <v>334.3</v>
      </c>
      <c r="Q57" s="8">
        <v>46.85</v>
      </c>
      <c r="R57">
        <v>1.4191773610857578E-3</v>
      </c>
      <c r="S57" s="8">
        <v>271.60000000000002</v>
      </c>
      <c r="T57" s="8">
        <v>20.32</v>
      </c>
      <c r="U57">
        <v>1.153002007989506E-3</v>
      </c>
      <c r="V57" s="8">
        <v>2453</v>
      </c>
      <c r="W57" s="8">
        <v>145.69999999999999</v>
      </c>
      <c r="X57">
        <v>1.0413526972011259E-2</v>
      </c>
      <c r="Y57" s="8">
        <v>489.1</v>
      </c>
      <c r="Z57" s="8">
        <v>96.7</v>
      </c>
      <c r="AA57">
        <v>2.0763375629884659E-3</v>
      </c>
    </row>
    <row r="58" spans="1:27" x14ac:dyDescent="0.35">
      <c r="A58" t="s">
        <v>204</v>
      </c>
      <c r="B58" t="s">
        <v>58</v>
      </c>
      <c r="C58" t="s">
        <v>65</v>
      </c>
      <c r="D58">
        <v>1</v>
      </c>
      <c r="E58" s="1">
        <v>44904</v>
      </c>
      <c r="F58">
        <v>0.11574074074074074</v>
      </c>
      <c r="G58" s="8">
        <v>196.4</v>
      </c>
      <c r="H58" s="8">
        <v>15.06</v>
      </c>
      <c r="I58">
        <v>1.9640000000000001E-2</v>
      </c>
      <c r="J58" s="8">
        <v>1223</v>
      </c>
      <c r="K58" s="8">
        <v>45.3</v>
      </c>
      <c r="L58">
        <v>0.12230000000000001</v>
      </c>
      <c r="M58" s="8">
        <v>11200</v>
      </c>
      <c r="N58" s="8">
        <v>98.33</v>
      </c>
      <c r="O58">
        <v>1.1200000000000001</v>
      </c>
      <c r="P58" s="8">
        <v>2462</v>
      </c>
      <c r="Q58" s="8">
        <v>67</v>
      </c>
      <c r="R58">
        <v>0.2462</v>
      </c>
      <c r="S58" s="8">
        <v>1847</v>
      </c>
      <c r="T58" s="8">
        <v>75.52</v>
      </c>
      <c r="U58">
        <v>0.1847</v>
      </c>
      <c r="V58" s="8">
        <v>14770</v>
      </c>
      <c r="W58" s="8">
        <v>117.2</v>
      </c>
      <c r="X58">
        <v>1.4770000000000001</v>
      </c>
      <c r="Y58" s="8">
        <v>3105</v>
      </c>
      <c r="Z58" s="8">
        <v>61.13</v>
      </c>
      <c r="AA58">
        <v>0.3105</v>
      </c>
    </row>
    <row r="59" spans="1:27" x14ac:dyDescent="0.35">
      <c r="A59" t="s">
        <v>205</v>
      </c>
      <c r="B59" t="s">
        <v>58</v>
      </c>
      <c r="C59" t="s">
        <v>65</v>
      </c>
      <c r="D59">
        <v>1</v>
      </c>
      <c r="E59" s="1">
        <v>44903</v>
      </c>
      <c r="F59">
        <v>0.11574074074074074</v>
      </c>
      <c r="I59">
        <v>0</v>
      </c>
      <c r="J59" s="8">
        <v>2176</v>
      </c>
      <c r="K59" s="8">
        <v>56.29</v>
      </c>
      <c r="L59">
        <v>0.21759999999999999</v>
      </c>
      <c r="M59" s="8">
        <v>12790</v>
      </c>
      <c r="N59" s="8">
        <v>177.4</v>
      </c>
      <c r="O59">
        <v>1.2789999999999999</v>
      </c>
      <c r="P59" s="8">
        <v>2596</v>
      </c>
      <c r="Q59" s="8">
        <v>100.1</v>
      </c>
      <c r="R59">
        <v>0.2596</v>
      </c>
      <c r="S59" s="8">
        <v>1897</v>
      </c>
      <c r="T59" s="8">
        <v>38.25</v>
      </c>
      <c r="U59">
        <v>0.18970000000000001</v>
      </c>
      <c r="V59" s="8">
        <v>17530</v>
      </c>
      <c r="W59" s="8">
        <v>127.4</v>
      </c>
      <c r="X59">
        <v>1.7529999999999999</v>
      </c>
      <c r="Y59" s="8">
        <v>3824</v>
      </c>
      <c r="Z59" s="8">
        <v>185</v>
      </c>
      <c r="AA59">
        <v>0.38240000000000002</v>
      </c>
    </row>
    <row r="60" spans="1:27" x14ac:dyDescent="0.35">
      <c r="A60" t="s">
        <v>195</v>
      </c>
      <c r="B60" t="s">
        <v>58</v>
      </c>
      <c r="C60" t="s">
        <v>65</v>
      </c>
      <c r="D60">
        <v>5.7541000000000002E-2</v>
      </c>
      <c r="E60" s="1">
        <v>44904</v>
      </c>
      <c r="F60">
        <v>0.11574074074074074</v>
      </c>
      <c r="G60" s="8">
        <v>7265</v>
      </c>
      <c r="H60" s="8">
        <v>74.95</v>
      </c>
      <c r="I60">
        <v>0.72650000000000003</v>
      </c>
      <c r="J60" s="8">
        <v>627.79999999999995</v>
      </c>
      <c r="K60" s="8">
        <v>121.4</v>
      </c>
      <c r="L60">
        <v>6.2779999999999989E-2</v>
      </c>
      <c r="M60" s="8">
        <v>10900</v>
      </c>
      <c r="N60" s="8">
        <v>174</v>
      </c>
      <c r="O60">
        <v>1.0900000000000001</v>
      </c>
      <c r="P60" s="8">
        <v>2204</v>
      </c>
      <c r="Q60" s="8">
        <v>118.5</v>
      </c>
      <c r="R60">
        <v>0.22040000000000001</v>
      </c>
      <c r="S60" s="8">
        <v>1693</v>
      </c>
      <c r="T60" s="8">
        <v>36.21</v>
      </c>
      <c r="U60">
        <v>0.16930000000000001</v>
      </c>
      <c r="V60" s="8">
        <v>13930</v>
      </c>
      <c r="W60" s="8">
        <v>114.2</v>
      </c>
      <c r="X60">
        <v>1.393</v>
      </c>
      <c r="Y60" s="8">
        <v>2930</v>
      </c>
      <c r="Z60" s="8">
        <v>36.799999999999997</v>
      </c>
      <c r="AA60">
        <v>0.29299999999999998</v>
      </c>
    </row>
    <row r="61" spans="1:27" x14ac:dyDescent="0.35">
      <c r="A61" t="s">
        <v>193</v>
      </c>
      <c r="B61" t="s">
        <v>58</v>
      </c>
      <c r="C61" t="s">
        <v>65</v>
      </c>
      <c r="D61">
        <v>5.7541000000000002E-2</v>
      </c>
      <c r="E61" s="1">
        <v>44830</v>
      </c>
      <c r="F61">
        <v>0.68517361111111119</v>
      </c>
      <c r="I61">
        <v>0</v>
      </c>
      <c r="L61">
        <v>0</v>
      </c>
      <c r="M61" s="8">
        <v>53.38</v>
      </c>
      <c r="N61" s="8">
        <v>23.56</v>
      </c>
      <c r="O61">
        <v>9.0170442068278182E-4</v>
      </c>
      <c r="R61">
        <v>0</v>
      </c>
      <c r="U61">
        <v>0</v>
      </c>
      <c r="V61" s="8">
        <v>29.38</v>
      </c>
      <c r="W61" s="8">
        <v>27.77</v>
      </c>
      <c r="X61">
        <v>4.9629216709741713E-4</v>
      </c>
      <c r="AA61">
        <v>0</v>
      </c>
    </row>
    <row r="62" spans="1:27" x14ac:dyDescent="0.35">
      <c r="A62" t="s">
        <v>194</v>
      </c>
      <c r="B62" t="s">
        <v>58</v>
      </c>
      <c r="C62" t="s">
        <v>65</v>
      </c>
      <c r="D62">
        <v>5.0090000000000003E-2</v>
      </c>
      <c r="E62" s="1">
        <v>44827</v>
      </c>
      <c r="F62">
        <v>1</v>
      </c>
      <c r="I62">
        <v>0</v>
      </c>
      <c r="J62" s="8">
        <v>219.2</v>
      </c>
      <c r="K62" s="8">
        <v>66.040000000000006</v>
      </c>
      <c r="L62">
        <v>2.5370370370370369E-3</v>
      </c>
      <c r="M62" s="8">
        <v>2566</v>
      </c>
      <c r="N62" s="8">
        <v>226.2</v>
      </c>
      <c r="O62">
        <v>2.9699074074074076E-2</v>
      </c>
      <c r="P62" s="8">
        <v>362.7</v>
      </c>
      <c r="Q62" s="8">
        <v>28.42</v>
      </c>
      <c r="R62">
        <v>4.1979166666666666E-3</v>
      </c>
      <c r="U62">
        <v>0</v>
      </c>
      <c r="V62" s="8">
        <v>3250</v>
      </c>
      <c r="W62" s="8">
        <v>315.2</v>
      </c>
      <c r="X62">
        <v>3.7615740740740741E-2</v>
      </c>
      <c r="AA62">
        <v>0</v>
      </c>
    </row>
    <row r="63" spans="1:27" x14ac:dyDescent="0.35">
      <c r="A63" t="s">
        <v>206</v>
      </c>
      <c r="B63" t="s">
        <v>58</v>
      </c>
      <c r="C63" t="s">
        <v>65</v>
      </c>
      <c r="D63">
        <v>5.0090000000000003E-2</v>
      </c>
      <c r="E63" s="1">
        <v>44909</v>
      </c>
      <c r="F63">
        <v>0.11574074074074074</v>
      </c>
      <c r="I63">
        <v>0</v>
      </c>
      <c r="L63">
        <v>0</v>
      </c>
      <c r="M63" s="8">
        <v>264.2</v>
      </c>
      <c r="N63" s="8">
        <v>73.72</v>
      </c>
      <c r="O63">
        <v>2.6419999999999999E-2</v>
      </c>
      <c r="P63" s="8">
        <v>47.38</v>
      </c>
      <c r="Q63" s="8">
        <v>9.625</v>
      </c>
      <c r="R63">
        <v>4.738E-3</v>
      </c>
      <c r="S63" s="8">
        <v>47.84</v>
      </c>
      <c r="T63" s="8">
        <v>8.6809999999999992</v>
      </c>
      <c r="U63">
        <v>4.7840000000000001E-3</v>
      </c>
      <c r="V63" s="8">
        <v>352</v>
      </c>
      <c r="W63" s="8">
        <v>49.88</v>
      </c>
      <c r="X63">
        <v>3.5200000000000002E-2</v>
      </c>
      <c r="AA63">
        <v>0</v>
      </c>
    </row>
    <row r="64" spans="1:27" x14ac:dyDescent="0.35">
      <c r="A64" t="s">
        <v>196</v>
      </c>
      <c r="B64" t="s">
        <v>58</v>
      </c>
      <c r="C64" t="s">
        <v>65</v>
      </c>
      <c r="D64">
        <v>6.4928E-2</v>
      </c>
      <c r="E64" s="1">
        <v>44830</v>
      </c>
      <c r="F64">
        <v>0.32245370370370369</v>
      </c>
      <c r="I64">
        <v>0</v>
      </c>
      <c r="J64" s="8">
        <v>10150</v>
      </c>
      <c r="K64" s="8">
        <v>621.20000000000005</v>
      </c>
      <c r="L64">
        <v>0.36432160804020103</v>
      </c>
      <c r="M64" s="8">
        <v>62270</v>
      </c>
      <c r="N64" s="8">
        <v>363.2</v>
      </c>
      <c r="O64">
        <v>2.2351040918880116</v>
      </c>
      <c r="P64" s="8">
        <v>12800</v>
      </c>
      <c r="Q64" s="8">
        <v>128</v>
      </c>
      <c r="R64">
        <v>0.45944005743000715</v>
      </c>
      <c r="U64">
        <v>0</v>
      </c>
      <c r="V64" s="8">
        <v>89270</v>
      </c>
      <c r="W64" s="8">
        <v>548.79999999999995</v>
      </c>
      <c r="X64">
        <v>3.2042354630294327</v>
      </c>
      <c r="Y64" s="8">
        <v>15580</v>
      </c>
      <c r="Z64" s="8">
        <v>845.6</v>
      </c>
      <c r="AA64">
        <v>0.55922469490308691</v>
      </c>
    </row>
    <row r="65" spans="1:27" x14ac:dyDescent="0.35">
      <c r="A65" t="s">
        <v>197</v>
      </c>
      <c r="B65" t="s">
        <v>58</v>
      </c>
      <c r="C65" t="s">
        <v>65</v>
      </c>
      <c r="D65">
        <v>6.4928E-2</v>
      </c>
      <c r="E65" s="1">
        <v>44903</v>
      </c>
      <c r="F65">
        <v>0.11574074074074074</v>
      </c>
      <c r="I65">
        <v>0</v>
      </c>
      <c r="J65" s="8">
        <v>4518</v>
      </c>
      <c r="K65" s="8">
        <v>237.1</v>
      </c>
      <c r="L65">
        <v>0.45179999999999998</v>
      </c>
      <c r="M65" s="8">
        <v>32550</v>
      </c>
      <c r="N65" s="8">
        <v>168.1</v>
      </c>
      <c r="O65">
        <v>3.2549999999999999</v>
      </c>
      <c r="P65" s="8">
        <v>6490</v>
      </c>
      <c r="Q65" s="8">
        <v>73.2</v>
      </c>
      <c r="R65">
        <v>0.64900000000000002</v>
      </c>
      <c r="S65" s="8">
        <v>5227</v>
      </c>
      <c r="T65" s="8">
        <v>75.5</v>
      </c>
      <c r="U65">
        <v>0.52270000000000005</v>
      </c>
      <c r="V65" s="8">
        <v>44600</v>
      </c>
      <c r="W65" s="8">
        <v>388.8</v>
      </c>
      <c r="X65">
        <v>4.46</v>
      </c>
      <c r="Y65" s="8">
        <v>8216</v>
      </c>
      <c r="Z65" s="8">
        <v>664.5</v>
      </c>
      <c r="AA65">
        <v>0.8216</v>
      </c>
    </row>
    <row r="66" spans="1:27" x14ac:dyDescent="0.35">
      <c r="A66" t="s">
        <v>202</v>
      </c>
      <c r="B66" t="s">
        <v>58</v>
      </c>
      <c r="C66" t="s">
        <v>65</v>
      </c>
      <c r="D66">
        <v>2.6936000000000002E-2</v>
      </c>
      <c r="E66" s="1">
        <v>44893</v>
      </c>
      <c r="F66">
        <v>1.9963657407407409</v>
      </c>
      <c r="G66" s="8">
        <v>4524</v>
      </c>
      <c r="H66" s="8">
        <v>154.30000000000001</v>
      </c>
      <c r="I66">
        <v>2.6228215623296962E-2</v>
      </c>
      <c r="J66" s="8">
        <v>1240</v>
      </c>
      <c r="K66" s="8">
        <v>152.6</v>
      </c>
      <c r="L66">
        <v>7.1889892513015549E-3</v>
      </c>
      <c r="M66" s="8">
        <v>1629</v>
      </c>
      <c r="N66" s="8">
        <v>123.5</v>
      </c>
      <c r="O66">
        <v>9.4442447502985742E-3</v>
      </c>
      <c r="P66" s="8">
        <v>351.7</v>
      </c>
      <c r="Q66" s="8">
        <v>23.24</v>
      </c>
      <c r="R66">
        <v>2.0390060642602875E-3</v>
      </c>
      <c r="S66" s="8">
        <v>282</v>
      </c>
      <c r="T66" s="8">
        <v>95.1</v>
      </c>
      <c r="U66">
        <v>1.6349152974734181E-3</v>
      </c>
      <c r="V66" s="8">
        <v>2532</v>
      </c>
      <c r="W66" s="8">
        <v>169.4</v>
      </c>
      <c r="X66">
        <v>1.4679452245399627E-2</v>
      </c>
      <c r="Y66" s="8">
        <v>426.7</v>
      </c>
      <c r="Z66" s="8">
        <v>148.30000000000001</v>
      </c>
      <c r="AA66">
        <v>2.4738239625244946E-3</v>
      </c>
    </row>
    <row r="68" spans="1:27" ht="15" thickBot="1" x14ac:dyDescent="0.4">
      <c r="G68" t="s">
        <v>1</v>
      </c>
      <c r="H68" t="s">
        <v>23</v>
      </c>
      <c r="J68" t="s">
        <v>56</v>
      </c>
      <c r="K68" t="s">
        <v>57</v>
      </c>
      <c r="M68" t="s">
        <v>21</v>
      </c>
      <c r="N68" t="s">
        <v>54</v>
      </c>
      <c r="P68" t="s">
        <v>19</v>
      </c>
      <c r="Q68" t="s">
        <v>53</v>
      </c>
      <c r="S68" t="s">
        <v>198</v>
      </c>
      <c r="T68" t="s">
        <v>199</v>
      </c>
      <c r="V68" t="s">
        <v>200</v>
      </c>
      <c r="W68" t="s">
        <v>201</v>
      </c>
    </row>
    <row r="69" spans="1:27" ht="15" thickBot="1" x14ac:dyDescent="0.4">
      <c r="A69" s="13" t="s">
        <v>30</v>
      </c>
      <c r="B69" s="13" t="s">
        <v>29</v>
      </c>
      <c r="C69" s="13" t="s">
        <v>31</v>
      </c>
      <c r="D69" s="13" t="s">
        <v>27</v>
      </c>
      <c r="E69" s="13" t="s">
        <v>25</v>
      </c>
      <c r="F69" s="30" t="s">
        <v>28</v>
      </c>
      <c r="G69" t="s">
        <v>188</v>
      </c>
      <c r="H69" t="s">
        <v>189</v>
      </c>
      <c r="I69" t="s">
        <v>190</v>
      </c>
      <c r="J69" t="s">
        <v>188</v>
      </c>
      <c r="K69" t="s">
        <v>189</v>
      </c>
      <c r="L69" t="s">
        <v>190</v>
      </c>
      <c r="M69" t="s">
        <v>188</v>
      </c>
      <c r="N69" t="s">
        <v>189</v>
      </c>
      <c r="O69" t="s">
        <v>190</v>
      </c>
      <c r="P69" t="s">
        <v>188</v>
      </c>
      <c r="Q69" t="s">
        <v>189</v>
      </c>
      <c r="R69" t="s">
        <v>190</v>
      </c>
      <c r="S69" t="s">
        <v>188</v>
      </c>
      <c r="T69" t="s">
        <v>189</v>
      </c>
      <c r="U69" t="s">
        <v>190</v>
      </c>
      <c r="V69" t="s">
        <v>188</v>
      </c>
      <c r="W69" t="s">
        <v>189</v>
      </c>
      <c r="X69" t="s">
        <v>190</v>
      </c>
    </row>
    <row r="70" spans="1:27" ht="15" thickBot="1" x14ac:dyDescent="0.4">
      <c r="A70" s="10" t="s">
        <v>187</v>
      </c>
      <c r="B70" s="11" t="s">
        <v>58</v>
      </c>
      <c r="C70" s="11" t="s">
        <v>65</v>
      </c>
      <c r="D70" s="11">
        <v>4.0795999999999999E-2</v>
      </c>
      <c r="E70" s="20">
        <v>44890</v>
      </c>
      <c r="F70" s="31">
        <v>2.7263773148148149</v>
      </c>
      <c r="G70" s="8">
        <v>547</v>
      </c>
      <c r="H70" s="8">
        <v>46.32</v>
      </c>
      <c r="I70">
        <v>2.3221358555606027E-3</v>
      </c>
      <c r="J70" s="8">
        <v>489.1</v>
      </c>
      <c r="K70" s="8">
        <v>96.7</v>
      </c>
      <c r="L70">
        <v>2.0763375629884659E-3</v>
      </c>
      <c r="M70" s="8">
        <v>2453</v>
      </c>
      <c r="N70" s="8">
        <v>145.69999999999999</v>
      </c>
      <c r="O70">
        <v>1.0413526972011259E-2</v>
      </c>
      <c r="P70" s="8">
        <v>1835</v>
      </c>
      <c r="Q70" s="8">
        <v>54.12</v>
      </c>
      <c r="R70">
        <v>7.7899804295314548E-3</v>
      </c>
      <c r="S70" s="8">
        <v>334.3</v>
      </c>
      <c r="T70" s="8">
        <v>46.85</v>
      </c>
      <c r="U70">
        <v>1.4191773610857578E-3</v>
      </c>
      <c r="V70" s="8">
        <v>271.60000000000002</v>
      </c>
      <c r="W70" s="8">
        <v>20.32</v>
      </c>
      <c r="X70">
        <v>1.153002007989506E-3</v>
      </c>
    </row>
    <row r="71" spans="1:27" x14ac:dyDescent="0.35">
      <c r="A71" t="s">
        <v>204</v>
      </c>
      <c r="B71" t="s">
        <v>58</v>
      </c>
      <c r="C71" t="s">
        <v>65</v>
      </c>
      <c r="D71">
        <v>1</v>
      </c>
      <c r="E71" s="1">
        <v>44904</v>
      </c>
      <c r="F71">
        <v>0.11574074074074074</v>
      </c>
      <c r="G71" s="8">
        <v>1223</v>
      </c>
      <c r="H71" s="8">
        <v>45.3</v>
      </c>
      <c r="I71">
        <v>0.12230000000000001</v>
      </c>
      <c r="J71" s="8">
        <v>3105</v>
      </c>
      <c r="K71" s="8">
        <v>61.13</v>
      </c>
      <c r="L71">
        <v>0.3105</v>
      </c>
      <c r="M71" s="8">
        <v>14770</v>
      </c>
      <c r="N71" s="8">
        <v>117.2</v>
      </c>
      <c r="O71">
        <v>1.4770000000000001</v>
      </c>
      <c r="P71" s="8">
        <v>11200</v>
      </c>
      <c r="Q71" s="8">
        <v>98.33</v>
      </c>
      <c r="R71">
        <v>1.1200000000000001</v>
      </c>
      <c r="S71" s="8">
        <v>2462</v>
      </c>
      <c r="T71" s="8">
        <v>67</v>
      </c>
      <c r="U71">
        <v>0.2462</v>
      </c>
      <c r="V71" s="8">
        <v>1847</v>
      </c>
      <c r="W71" s="8">
        <v>75.52</v>
      </c>
      <c r="X71">
        <v>0.1847</v>
      </c>
    </row>
    <row r="72" spans="1:27" x14ac:dyDescent="0.35">
      <c r="A72" t="s">
        <v>205</v>
      </c>
      <c r="B72" t="s">
        <v>58</v>
      </c>
      <c r="C72" t="s">
        <v>65</v>
      </c>
      <c r="D72">
        <v>1</v>
      </c>
      <c r="E72" s="1">
        <v>44903</v>
      </c>
      <c r="F72">
        <v>0.11574074074074074</v>
      </c>
      <c r="G72" s="8">
        <v>2176</v>
      </c>
      <c r="H72" s="8">
        <v>56.29</v>
      </c>
      <c r="I72">
        <v>0.21759999999999999</v>
      </c>
      <c r="J72" s="8">
        <v>3824</v>
      </c>
      <c r="K72" s="8">
        <v>185</v>
      </c>
      <c r="L72">
        <v>0.38240000000000002</v>
      </c>
      <c r="M72" s="8">
        <v>17530</v>
      </c>
      <c r="N72" s="8">
        <v>127.4</v>
      </c>
      <c r="O72">
        <v>1.7529999999999999</v>
      </c>
      <c r="P72" s="8">
        <v>12790</v>
      </c>
      <c r="Q72" s="8">
        <v>177.4</v>
      </c>
      <c r="R72">
        <v>1.2789999999999999</v>
      </c>
      <c r="S72" s="8">
        <v>2596</v>
      </c>
      <c r="T72" s="8">
        <v>100.1</v>
      </c>
      <c r="U72">
        <v>0.2596</v>
      </c>
      <c r="V72" s="8">
        <v>1897</v>
      </c>
      <c r="W72" s="8">
        <v>38.25</v>
      </c>
      <c r="X72">
        <v>0.18970000000000001</v>
      </c>
    </row>
    <row r="73" spans="1:27" x14ac:dyDescent="0.35">
      <c r="A73" t="s">
        <v>195</v>
      </c>
      <c r="B73" t="s">
        <v>58</v>
      </c>
      <c r="C73" t="s">
        <v>65</v>
      </c>
      <c r="D73">
        <v>5.7541000000000002E-2</v>
      </c>
      <c r="E73" s="1">
        <v>44904</v>
      </c>
      <c r="F73">
        <v>0.11574074074074074</v>
      </c>
      <c r="G73" s="8">
        <v>627.79999999999995</v>
      </c>
      <c r="H73" s="8">
        <v>121.4</v>
      </c>
      <c r="I73">
        <v>6.2779999999999989E-2</v>
      </c>
      <c r="J73" s="8">
        <v>2930</v>
      </c>
      <c r="K73" s="8">
        <v>36.799999999999997</v>
      </c>
      <c r="L73">
        <v>0.29299999999999998</v>
      </c>
      <c r="M73" s="8">
        <v>13930</v>
      </c>
      <c r="N73" s="8">
        <v>114.2</v>
      </c>
      <c r="O73">
        <v>1.393</v>
      </c>
      <c r="P73" s="8">
        <v>10900</v>
      </c>
      <c r="Q73" s="8">
        <v>174</v>
      </c>
      <c r="R73">
        <v>1.0900000000000001</v>
      </c>
      <c r="S73" s="8">
        <v>2204</v>
      </c>
      <c r="T73" s="8">
        <v>118.5</v>
      </c>
      <c r="U73">
        <v>0.22040000000000001</v>
      </c>
      <c r="V73" s="8">
        <v>1693</v>
      </c>
      <c r="W73" s="8">
        <v>36.21</v>
      </c>
      <c r="X73">
        <v>0.16930000000000001</v>
      </c>
    </row>
    <row r="74" spans="1:27" x14ac:dyDescent="0.35">
      <c r="A74" t="s">
        <v>193</v>
      </c>
      <c r="B74" t="s">
        <v>58</v>
      </c>
      <c r="C74" t="s">
        <v>65</v>
      </c>
      <c r="D74">
        <v>5.7541000000000002E-2</v>
      </c>
      <c r="E74" s="1">
        <v>44830</v>
      </c>
      <c r="F74">
        <v>0.68517361111111119</v>
      </c>
      <c r="I74">
        <v>0</v>
      </c>
      <c r="L74">
        <v>0</v>
      </c>
      <c r="M74" s="8">
        <v>29.38</v>
      </c>
      <c r="N74" s="8">
        <v>27.77</v>
      </c>
      <c r="O74">
        <v>4.9629216709741713E-4</v>
      </c>
      <c r="P74" s="8">
        <v>53.38</v>
      </c>
      <c r="Q74" s="8">
        <v>23.56</v>
      </c>
      <c r="R74">
        <v>9.0170442068278182E-4</v>
      </c>
      <c r="U74">
        <v>0</v>
      </c>
      <c r="X74">
        <v>0</v>
      </c>
    </row>
    <row r="75" spans="1:27" x14ac:dyDescent="0.35">
      <c r="A75" t="s">
        <v>194</v>
      </c>
      <c r="B75" t="s">
        <v>58</v>
      </c>
      <c r="C75" t="s">
        <v>65</v>
      </c>
      <c r="D75">
        <v>5.0090000000000003E-2</v>
      </c>
      <c r="E75" s="1">
        <v>44827</v>
      </c>
      <c r="F75">
        <v>1</v>
      </c>
      <c r="G75" s="8">
        <v>219.2</v>
      </c>
      <c r="H75" s="8">
        <v>66.040000000000006</v>
      </c>
      <c r="I75">
        <v>2.5370370370370369E-3</v>
      </c>
      <c r="J75" s="8">
        <v>1224</v>
      </c>
      <c r="K75" s="8">
        <v>104</v>
      </c>
      <c r="L75">
        <v>0</v>
      </c>
      <c r="M75" s="8">
        <v>3250</v>
      </c>
      <c r="N75" s="8">
        <v>315.2</v>
      </c>
      <c r="O75">
        <v>3.7615740740740741E-2</v>
      </c>
      <c r="P75" s="8">
        <v>2566</v>
      </c>
      <c r="Q75" s="8">
        <v>226.2</v>
      </c>
      <c r="R75">
        <v>2.9699074074074076E-2</v>
      </c>
      <c r="S75" s="8">
        <v>362.7</v>
      </c>
      <c r="T75" s="8">
        <v>28.42</v>
      </c>
      <c r="U75">
        <v>4.1979166666666666E-3</v>
      </c>
      <c r="V75" s="8">
        <v>387.5</v>
      </c>
      <c r="W75" s="8">
        <v>143.30000000000001</v>
      </c>
      <c r="X75">
        <v>0</v>
      </c>
    </row>
    <row r="76" spans="1:27" x14ac:dyDescent="0.35">
      <c r="A76" t="s">
        <v>206</v>
      </c>
      <c r="B76" t="s">
        <v>58</v>
      </c>
      <c r="C76" t="s">
        <v>65</v>
      </c>
      <c r="D76">
        <v>5.0090000000000003E-2</v>
      </c>
      <c r="E76" s="1">
        <v>44909</v>
      </c>
      <c r="F76">
        <v>0.11574074074074074</v>
      </c>
      <c r="G76" s="8">
        <v>122.6</v>
      </c>
      <c r="H76" s="8">
        <v>37.17</v>
      </c>
      <c r="I76">
        <v>0</v>
      </c>
      <c r="J76" s="8">
        <v>29.63</v>
      </c>
      <c r="K76" s="8">
        <v>18.440000000000001</v>
      </c>
      <c r="L76">
        <v>0</v>
      </c>
      <c r="M76" s="8">
        <v>352</v>
      </c>
      <c r="N76" s="8">
        <v>49.88</v>
      </c>
      <c r="O76">
        <v>3.5200000000000002E-2</v>
      </c>
      <c r="P76" s="8">
        <v>264.2</v>
      </c>
      <c r="Q76" s="8">
        <v>73.72</v>
      </c>
      <c r="R76">
        <v>2.6419999999999999E-2</v>
      </c>
      <c r="S76" s="8">
        <v>47.38</v>
      </c>
      <c r="T76" s="8">
        <v>9.625</v>
      </c>
      <c r="U76">
        <v>4.738E-3</v>
      </c>
      <c r="V76" s="8">
        <v>47.84</v>
      </c>
      <c r="W76" s="8">
        <v>8.6809999999999992</v>
      </c>
      <c r="X76">
        <v>4.7840000000000001E-3</v>
      </c>
    </row>
    <row r="77" spans="1:27" x14ac:dyDescent="0.35">
      <c r="A77" t="s">
        <v>196</v>
      </c>
      <c r="B77" t="s">
        <v>58</v>
      </c>
      <c r="C77" t="s">
        <v>65</v>
      </c>
      <c r="D77">
        <v>6.4928E-2</v>
      </c>
      <c r="E77" s="1">
        <v>44830</v>
      </c>
      <c r="F77">
        <v>0.32245370370370369</v>
      </c>
      <c r="G77" s="8">
        <v>10150</v>
      </c>
      <c r="H77" s="8">
        <v>621.20000000000005</v>
      </c>
      <c r="I77">
        <v>0.36432160804020103</v>
      </c>
      <c r="J77" s="8">
        <v>15580</v>
      </c>
      <c r="K77" s="8">
        <v>845.6</v>
      </c>
      <c r="L77">
        <v>0.55922469490308691</v>
      </c>
      <c r="M77" s="8">
        <v>89270</v>
      </c>
      <c r="N77" s="8">
        <v>548.79999999999995</v>
      </c>
      <c r="O77">
        <v>3.2042354630294327</v>
      </c>
      <c r="P77" s="8">
        <v>62270</v>
      </c>
      <c r="Q77" s="8">
        <v>363.2</v>
      </c>
      <c r="R77">
        <v>2.2351040918880116</v>
      </c>
      <c r="S77" s="8">
        <v>12800</v>
      </c>
      <c r="T77" s="8">
        <v>128</v>
      </c>
      <c r="U77">
        <v>0.45944005743000715</v>
      </c>
      <c r="V77" s="8">
        <v>10150</v>
      </c>
      <c r="W77" s="8">
        <v>110.5</v>
      </c>
      <c r="X77">
        <v>0</v>
      </c>
    </row>
    <row r="78" spans="1:27" x14ac:dyDescent="0.35">
      <c r="A78" t="s">
        <v>197</v>
      </c>
      <c r="B78" t="s">
        <v>58</v>
      </c>
      <c r="C78" t="s">
        <v>65</v>
      </c>
      <c r="D78">
        <v>6.4928E-2</v>
      </c>
      <c r="E78" s="1">
        <v>44903</v>
      </c>
      <c r="F78">
        <v>0.11574074074074074</v>
      </c>
      <c r="G78" s="8">
        <v>4518</v>
      </c>
      <c r="H78" s="8">
        <v>237.1</v>
      </c>
      <c r="I78">
        <v>0.45179999999999998</v>
      </c>
      <c r="J78" s="8">
        <v>8216</v>
      </c>
      <c r="K78" s="8">
        <v>664.5</v>
      </c>
      <c r="L78">
        <v>0.8216</v>
      </c>
      <c r="M78" s="8">
        <v>44600</v>
      </c>
      <c r="N78" s="8">
        <v>388.8</v>
      </c>
      <c r="O78">
        <v>4.46</v>
      </c>
      <c r="P78" s="8">
        <v>32550</v>
      </c>
      <c r="Q78" s="8">
        <v>168.1</v>
      </c>
      <c r="R78">
        <v>3.2549999999999999</v>
      </c>
      <c r="S78" s="8">
        <v>6490</v>
      </c>
      <c r="T78" s="8">
        <v>73.2</v>
      </c>
      <c r="U78">
        <v>0.64900000000000002</v>
      </c>
      <c r="V78" s="8">
        <v>5227</v>
      </c>
      <c r="W78" s="8">
        <v>75.5</v>
      </c>
      <c r="X78">
        <v>0.52270000000000005</v>
      </c>
    </row>
    <row r="79" spans="1:27" x14ac:dyDescent="0.35">
      <c r="A79" t="s">
        <v>202</v>
      </c>
      <c r="B79" t="s">
        <v>58</v>
      </c>
      <c r="C79" t="s">
        <v>65</v>
      </c>
      <c r="D79">
        <v>2.6936000000000002E-2</v>
      </c>
      <c r="E79" s="1">
        <v>44893</v>
      </c>
      <c r="F79">
        <v>1.9963657407407409</v>
      </c>
      <c r="G79" s="8">
        <v>1240</v>
      </c>
      <c r="H79" s="8">
        <v>152.6</v>
      </c>
      <c r="I79">
        <v>7.1889892513015549E-3</v>
      </c>
      <c r="J79" s="8">
        <v>426.7</v>
      </c>
      <c r="K79" s="8">
        <v>148.30000000000001</v>
      </c>
      <c r="L79">
        <v>2.4738239625244946E-3</v>
      </c>
      <c r="M79" s="8">
        <v>2532</v>
      </c>
      <c r="N79" s="8">
        <v>169.4</v>
      </c>
      <c r="O79">
        <v>1.4679452245399627E-2</v>
      </c>
      <c r="P79" s="8">
        <v>1629</v>
      </c>
      <c r="Q79" s="8">
        <v>123.5</v>
      </c>
      <c r="R79">
        <v>9.4442447502985742E-3</v>
      </c>
      <c r="S79" s="8">
        <v>351.7</v>
      </c>
      <c r="T79" s="8">
        <v>23.24</v>
      </c>
      <c r="U79">
        <v>2.0390060642602875E-3</v>
      </c>
      <c r="V79" s="8">
        <v>282</v>
      </c>
      <c r="W79" s="8">
        <v>95.1</v>
      </c>
      <c r="X79">
        <v>1.6349152974734181E-3</v>
      </c>
    </row>
    <row r="81" spans="1:30" ht="15" thickBot="1" x14ac:dyDescent="0.4">
      <c r="G81" t="s">
        <v>1</v>
      </c>
      <c r="H81" t="s">
        <v>23</v>
      </c>
      <c r="J81" t="s">
        <v>56</v>
      </c>
      <c r="K81" t="s">
        <v>57</v>
      </c>
      <c r="M81" t="s">
        <v>21</v>
      </c>
      <c r="N81" t="s">
        <v>54</v>
      </c>
      <c r="P81" t="s">
        <v>19</v>
      </c>
      <c r="Q81" t="s">
        <v>53</v>
      </c>
      <c r="S81" t="s">
        <v>198</v>
      </c>
      <c r="T81" t="s">
        <v>199</v>
      </c>
      <c r="V81" t="s">
        <v>200</v>
      </c>
      <c r="W81" t="s">
        <v>201</v>
      </c>
    </row>
    <row r="82" spans="1:30" ht="15" thickBot="1" x14ac:dyDescent="0.4">
      <c r="A82" s="13" t="s">
        <v>30</v>
      </c>
      <c r="B82" s="13" t="s">
        <v>29</v>
      </c>
      <c r="C82" s="13" t="s">
        <v>31</v>
      </c>
      <c r="D82" s="13" t="s">
        <v>27</v>
      </c>
      <c r="E82" s="13" t="s">
        <v>25</v>
      </c>
      <c r="F82" s="30" t="s">
        <v>28</v>
      </c>
      <c r="G82" t="s">
        <v>188</v>
      </c>
      <c r="H82" t="s">
        <v>189</v>
      </c>
      <c r="I82" t="s">
        <v>190</v>
      </c>
      <c r="J82" t="s">
        <v>188</v>
      </c>
      <c r="K82" t="s">
        <v>189</v>
      </c>
      <c r="L82" t="s">
        <v>190</v>
      </c>
      <c r="M82" t="s">
        <v>188</v>
      </c>
      <c r="N82" t="s">
        <v>189</v>
      </c>
      <c r="O82" t="s">
        <v>190</v>
      </c>
      <c r="P82" t="s">
        <v>188</v>
      </c>
      <c r="Q82" t="s">
        <v>189</v>
      </c>
      <c r="R82" t="s">
        <v>190</v>
      </c>
      <c r="S82" t="s">
        <v>188</v>
      </c>
      <c r="T82" t="s">
        <v>189</v>
      </c>
      <c r="U82" t="s">
        <v>190</v>
      </c>
      <c r="V82" t="s">
        <v>188</v>
      </c>
      <c r="W82" t="s">
        <v>189</v>
      </c>
      <c r="X82" t="s">
        <v>190</v>
      </c>
    </row>
    <row r="83" spans="1:30" ht="15" thickBot="1" x14ac:dyDescent="0.4">
      <c r="A83" s="10" t="s">
        <v>207</v>
      </c>
      <c r="B83" s="11" t="s">
        <v>42</v>
      </c>
      <c r="C83" s="11" t="s">
        <v>76</v>
      </c>
      <c r="D83" s="11">
        <v>5.6959000000000003E-2</v>
      </c>
      <c r="E83" s="20">
        <v>44907</v>
      </c>
      <c r="F83" s="31">
        <v>0.11574074074074074</v>
      </c>
      <c r="G83" s="8">
        <v>2427</v>
      </c>
      <c r="H83" s="8">
        <v>73.05</v>
      </c>
      <c r="I83">
        <v>0.2427</v>
      </c>
      <c r="J83" s="8">
        <v>5765</v>
      </c>
      <c r="K83" s="8">
        <v>93.71</v>
      </c>
      <c r="L83">
        <v>0.57650000000000001</v>
      </c>
      <c r="M83" s="8">
        <v>31190</v>
      </c>
      <c r="O83">
        <v>0</v>
      </c>
      <c r="P83" s="8">
        <v>24300</v>
      </c>
      <c r="R83">
        <v>0</v>
      </c>
      <c r="S83" s="8">
        <v>5351</v>
      </c>
      <c r="U83">
        <v>0</v>
      </c>
      <c r="V83" s="8">
        <v>4346</v>
      </c>
      <c r="X83">
        <v>0</v>
      </c>
    </row>
    <row r="84" spans="1:30" x14ac:dyDescent="0.35">
      <c r="A84" t="s">
        <v>174</v>
      </c>
      <c r="B84" t="s">
        <v>42</v>
      </c>
      <c r="C84" t="s">
        <v>76</v>
      </c>
      <c r="D84">
        <v>5.6959000000000003E-2</v>
      </c>
      <c r="E84" s="1">
        <v>44890</v>
      </c>
      <c r="F84">
        <v>2.7359606481481484</v>
      </c>
      <c r="G84" s="8">
        <v>3161</v>
      </c>
      <c r="H84" s="8">
        <v>83.48</v>
      </c>
      <c r="I84">
        <v>1.3372139753878175E-2</v>
      </c>
      <c r="J84" s="8">
        <v>579.6</v>
      </c>
      <c r="L84">
        <v>0</v>
      </c>
      <c r="M84" s="8">
        <v>101.7</v>
      </c>
      <c r="N84" s="8">
        <v>222.6</v>
      </c>
      <c r="O84">
        <v>4.3022670451420763E-4</v>
      </c>
      <c r="P84" s="8">
        <v>345.4</v>
      </c>
      <c r="R84">
        <v>0</v>
      </c>
      <c r="S84" s="8">
        <v>1.075</v>
      </c>
      <c r="T84" s="8">
        <v>0</v>
      </c>
      <c r="U84">
        <v>4.5476274075985561E-6</v>
      </c>
      <c r="V84">
        <v>0</v>
      </c>
      <c r="X84">
        <v>0</v>
      </c>
    </row>
    <row r="86" spans="1:30" ht="15" thickBot="1" x14ac:dyDescent="0.4"/>
    <row r="87" spans="1:30" ht="15" thickBot="1" x14ac:dyDescent="0.4">
      <c r="A87" s="10" t="s">
        <v>207</v>
      </c>
      <c r="F87">
        <f>F83*86400</f>
        <v>10000</v>
      </c>
      <c r="G87" s="8">
        <v>2427</v>
      </c>
      <c r="H87" s="8">
        <v>5765</v>
      </c>
      <c r="I87" s="8">
        <v>31190</v>
      </c>
      <c r="J87" s="8">
        <v>24300</v>
      </c>
      <c r="K87" s="8">
        <v>5351</v>
      </c>
      <c r="L87" s="8">
        <v>4346</v>
      </c>
    </row>
    <row r="88" spans="1:30" x14ac:dyDescent="0.35">
      <c r="A88" t="s">
        <v>174</v>
      </c>
      <c r="F88">
        <f>F84*86400</f>
        <v>236387.00000000003</v>
      </c>
      <c r="G88" s="8">
        <v>3161</v>
      </c>
      <c r="H88" s="8">
        <v>579.6</v>
      </c>
      <c r="I88" s="8">
        <v>101.7</v>
      </c>
      <c r="J88" s="8">
        <v>345.4</v>
      </c>
      <c r="K88" s="8">
        <v>1.075</v>
      </c>
      <c r="L88">
        <v>0</v>
      </c>
    </row>
    <row r="90" spans="1:30" ht="15" thickBot="1" x14ac:dyDescent="0.4">
      <c r="G90" t="s">
        <v>18</v>
      </c>
      <c r="H90" t="s">
        <v>24</v>
      </c>
      <c r="J90" t="s">
        <v>1</v>
      </c>
      <c r="K90" t="s">
        <v>23</v>
      </c>
      <c r="M90" t="s">
        <v>7</v>
      </c>
      <c r="N90" t="s">
        <v>50</v>
      </c>
      <c r="P90" t="s">
        <v>16</v>
      </c>
      <c r="Q90" t="s">
        <v>51</v>
      </c>
      <c r="S90" t="s">
        <v>19</v>
      </c>
      <c r="T90" t="s">
        <v>53</v>
      </c>
      <c r="V90" t="s">
        <v>21</v>
      </c>
      <c r="W90" t="s">
        <v>54</v>
      </c>
      <c r="Y90" t="s">
        <v>56</v>
      </c>
      <c r="Z90" t="s">
        <v>57</v>
      </c>
      <c r="AB90" t="s">
        <v>62</v>
      </c>
      <c r="AC90" t="s">
        <v>63</v>
      </c>
    </row>
    <row r="91" spans="1:30" ht="15" thickBot="1" x14ac:dyDescent="0.4">
      <c r="A91" s="13" t="s">
        <v>30</v>
      </c>
      <c r="B91" s="13" t="s">
        <v>29</v>
      </c>
      <c r="C91" s="13" t="s">
        <v>31</v>
      </c>
      <c r="D91" s="13" t="s">
        <v>27</v>
      </c>
      <c r="E91" s="13" t="s">
        <v>25</v>
      </c>
      <c r="F91" s="30" t="s">
        <v>28</v>
      </c>
      <c r="G91" t="s">
        <v>188</v>
      </c>
      <c r="H91" t="s">
        <v>189</v>
      </c>
      <c r="I91" t="s">
        <v>190</v>
      </c>
      <c r="J91" t="s">
        <v>188</v>
      </c>
      <c r="K91" t="s">
        <v>189</v>
      </c>
      <c r="L91" t="s">
        <v>190</v>
      </c>
      <c r="M91" t="s">
        <v>188</v>
      </c>
      <c r="N91" t="s">
        <v>189</v>
      </c>
      <c r="O91" t="s">
        <v>190</v>
      </c>
      <c r="P91" t="s">
        <v>188</v>
      </c>
      <c r="Q91" t="s">
        <v>189</v>
      </c>
      <c r="R91" t="s">
        <v>190</v>
      </c>
      <c r="S91" t="s">
        <v>188</v>
      </c>
      <c r="T91" t="s">
        <v>189</v>
      </c>
      <c r="U91" t="s">
        <v>190</v>
      </c>
      <c r="V91" t="s">
        <v>188</v>
      </c>
      <c r="W91" t="s">
        <v>189</v>
      </c>
      <c r="X91" t="s">
        <v>190</v>
      </c>
      <c r="Y91" t="s">
        <v>188</v>
      </c>
      <c r="Z91" t="s">
        <v>189</v>
      </c>
      <c r="AA91" t="s">
        <v>190</v>
      </c>
      <c r="AB91" t="s">
        <v>188</v>
      </c>
      <c r="AC91" t="s">
        <v>189</v>
      </c>
      <c r="AD91" t="s">
        <v>190</v>
      </c>
    </row>
    <row r="92" spans="1:30" ht="15" thickBot="1" x14ac:dyDescent="0.4">
      <c r="A92" s="10" t="s">
        <v>187</v>
      </c>
      <c r="B92" s="11" t="s">
        <v>58</v>
      </c>
      <c r="C92" s="11" t="s">
        <v>65</v>
      </c>
      <c r="D92" s="11">
        <v>4.0795999999999999E-2</v>
      </c>
      <c r="E92" s="20">
        <v>44890</v>
      </c>
      <c r="F92" s="31">
        <v>2.7263773148148149</v>
      </c>
      <c r="G92" s="8">
        <v>5567</v>
      </c>
      <c r="H92" s="8">
        <v>142.6</v>
      </c>
      <c r="I92">
        <v>2.3633144987030851E-2</v>
      </c>
      <c r="J92" s="8">
        <v>522.9</v>
      </c>
      <c r="K92" s="8">
        <v>46.16</v>
      </c>
      <c r="L92">
        <v>2.2198260308457754E-3</v>
      </c>
      <c r="M92" s="8">
        <v>1364</v>
      </c>
      <c r="N92" s="8">
        <v>35.6</v>
      </c>
      <c r="O92">
        <v>5.7904813656026724E-3</v>
      </c>
      <c r="P92" s="8">
        <v>6978</v>
      </c>
      <c r="Q92" s="8">
        <v>184.5</v>
      </c>
      <c r="R92">
        <v>2.9623151736932148E-2</v>
      </c>
      <c r="S92" s="8">
        <v>2209</v>
      </c>
      <c r="T92" s="8">
        <v>145.19999999999999</v>
      </c>
      <c r="U92">
        <v>9.3776930620354144E-3</v>
      </c>
      <c r="V92" s="8">
        <v>2983</v>
      </c>
      <c r="W92" s="8">
        <v>146.1</v>
      </c>
      <c r="X92">
        <v>1.2663494071548953E-2</v>
      </c>
      <c r="Y92" s="8">
        <v>643.1</v>
      </c>
      <c r="Z92" s="8">
        <v>58.06</v>
      </c>
      <c r="AA92">
        <v>2.7301015881371548E-3</v>
      </c>
      <c r="AB92" s="8">
        <v>620.29999999999995</v>
      </c>
      <c r="AC92" s="8">
        <v>46.72</v>
      </c>
      <c r="AD92">
        <v>2.6333105506476081E-3</v>
      </c>
    </row>
    <row r="94" spans="1:30" ht="15" thickBot="1" x14ac:dyDescent="0.4">
      <c r="G94" t="s">
        <v>18</v>
      </c>
      <c r="H94" t="s">
        <v>24</v>
      </c>
      <c r="J94" t="s">
        <v>1</v>
      </c>
      <c r="K94" t="s">
        <v>23</v>
      </c>
      <c r="M94" t="s">
        <v>7</v>
      </c>
      <c r="N94" t="s">
        <v>50</v>
      </c>
      <c r="P94" t="s">
        <v>16</v>
      </c>
      <c r="Q94" t="s">
        <v>51</v>
      </c>
      <c r="S94" t="s">
        <v>19</v>
      </c>
      <c r="T94" t="s">
        <v>53</v>
      </c>
      <c r="V94" t="s">
        <v>21</v>
      </c>
      <c r="W94" t="s">
        <v>54</v>
      </c>
      <c r="Y94" t="s">
        <v>56</v>
      </c>
      <c r="Z94" t="s">
        <v>57</v>
      </c>
      <c r="AB94" t="s">
        <v>62</v>
      </c>
      <c r="AC94" t="s">
        <v>63</v>
      </c>
    </row>
    <row r="95" spans="1:30" ht="15" thickBot="1" x14ac:dyDescent="0.4">
      <c r="A95" s="13" t="s">
        <v>30</v>
      </c>
      <c r="B95" s="13" t="s">
        <v>29</v>
      </c>
      <c r="C95" s="13" t="s">
        <v>31</v>
      </c>
      <c r="D95" s="13" t="s">
        <v>27</v>
      </c>
      <c r="E95" s="13" t="s">
        <v>25</v>
      </c>
      <c r="F95" s="30" t="s">
        <v>28</v>
      </c>
      <c r="G95" t="s">
        <v>18</v>
      </c>
      <c r="H95" t="s">
        <v>24</v>
      </c>
      <c r="I95" t="s">
        <v>190</v>
      </c>
      <c r="J95" t="s">
        <v>1</v>
      </c>
      <c r="K95" t="s">
        <v>23</v>
      </c>
      <c r="L95" t="s">
        <v>190</v>
      </c>
      <c r="M95" t="s">
        <v>7</v>
      </c>
      <c r="N95" t="s">
        <v>50</v>
      </c>
      <c r="O95" t="s">
        <v>190</v>
      </c>
      <c r="P95" t="s">
        <v>16</v>
      </c>
      <c r="Q95" t="s">
        <v>51</v>
      </c>
      <c r="R95" t="s">
        <v>190</v>
      </c>
      <c r="S95" t="s">
        <v>19</v>
      </c>
      <c r="T95" t="s">
        <v>53</v>
      </c>
      <c r="U95" t="s">
        <v>190</v>
      </c>
      <c r="V95" t="s">
        <v>21</v>
      </c>
      <c r="W95" t="s">
        <v>54</v>
      </c>
      <c r="X95" t="s">
        <v>190</v>
      </c>
      <c r="Y95" t="s">
        <v>56</v>
      </c>
      <c r="Z95" t="s">
        <v>57</v>
      </c>
      <c r="AA95" t="s">
        <v>190</v>
      </c>
      <c r="AB95" t="s">
        <v>62</v>
      </c>
      <c r="AC95" t="s">
        <v>63</v>
      </c>
      <c r="AD95" t="s">
        <v>190</v>
      </c>
    </row>
    <row r="96" spans="1:30" ht="15" thickBot="1" x14ac:dyDescent="0.4">
      <c r="A96" s="13" t="s">
        <v>187</v>
      </c>
      <c r="B96" s="13" t="s">
        <v>58</v>
      </c>
      <c r="C96" s="13" t="s">
        <v>65</v>
      </c>
      <c r="D96" s="13">
        <v>4.0795999999999999E-2</v>
      </c>
      <c r="E96" s="21">
        <v>44890</v>
      </c>
      <c r="F96" s="30">
        <v>2.7263773148148149</v>
      </c>
      <c r="G96" s="8" t="s">
        <v>188</v>
      </c>
      <c r="H96" s="8" t="s">
        <v>189</v>
      </c>
      <c r="I96" t="s">
        <v>190</v>
      </c>
      <c r="J96" s="8" t="s">
        <v>188</v>
      </c>
      <c r="K96" s="8" t="s">
        <v>189</v>
      </c>
      <c r="L96" t="s">
        <v>190</v>
      </c>
      <c r="M96" s="8" t="s">
        <v>188</v>
      </c>
      <c r="N96" s="8" t="s">
        <v>189</v>
      </c>
      <c r="O96" t="s">
        <v>190</v>
      </c>
      <c r="P96" s="8" t="s">
        <v>188</v>
      </c>
      <c r="Q96" s="8" t="s">
        <v>189</v>
      </c>
      <c r="R96" t="s">
        <v>190</v>
      </c>
      <c r="S96" s="8" t="s">
        <v>188</v>
      </c>
      <c r="T96" s="8" t="s">
        <v>189</v>
      </c>
      <c r="U96" t="s">
        <v>190</v>
      </c>
      <c r="V96" s="8" t="s">
        <v>188</v>
      </c>
      <c r="W96" s="8" t="s">
        <v>189</v>
      </c>
      <c r="X96" t="s">
        <v>190</v>
      </c>
      <c r="Y96" s="8" t="s">
        <v>188</v>
      </c>
      <c r="Z96" s="8" t="s">
        <v>189</v>
      </c>
      <c r="AA96" t="s">
        <v>190</v>
      </c>
      <c r="AB96" s="8" t="s">
        <v>188</v>
      </c>
      <c r="AC96" s="8" t="s">
        <v>189</v>
      </c>
      <c r="AD96" t="s">
        <v>190</v>
      </c>
    </row>
    <row r="97" spans="1:30" ht="15" thickBot="1" x14ac:dyDescent="0.4">
      <c r="A97" s="10" t="s">
        <v>204</v>
      </c>
      <c r="B97" s="11" t="s">
        <v>58</v>
      </c>
      <c r="C97" s="11" t="s">
        <v>65</v>
      </c>
      <c r="D97" s="11">
        <v>1</v>
      </c>
      <c r="E97" s="20">
        <v>44904</v>
      </c>
      <c r="F97" s="31">
        <v>0.11574074074074074</v>
      </c>
      <c r="G97" s="8">
        <v>196.4</v>
      </c>
      <c r="H97" s="8">
        <v>15.06</v>
      </c>
      <c r="I97">
        <v>1.9640000000000001E-2</v>
      </c>
      <c r="J97" s="8">
        <v>1223</v>
      </c>
      <c r="K97" s="8">
        <v>45.3</v>
      </c>
      <c r="L97">
        <v>0.12230000000000001</v>
      </c>
      <c r="O97">
        <v>0</v>
      </c>
      <c r="P97" s="8">
        <v>278.10000000000002</v>
      </c>
      <c r="Q97" s="8">
        <v>30.59</v>
      </c>
      <c r="R97">
        <v>2.7810000000000001E-2</v>
      </c>
      <c r="S97" s="8">
        <v>11200</v>
      </c>
      <c r="T97" s="8">
        <v>98.33</v>
      </c>
      <c r="U97">
        <v>1.1200000000000001</v>
      </c>
      <c r="V97" s="8">
        <v>14770</v>
      </c>
      <c r="W97" s="8">
        <v>117.2</v>
      </c>
      <c r="X97">
        <v>1.4770000000000001</v>
      </c>
      <c r="Y97" s="8">
        <v>3105</v>
      </c>
      <c r="Z97" s="8">
        <v>61.13</v>
      </c>
      <c r="AA97">
        <v>0.3105</v>
      </c>
      <c r="AD97">
        <v>0</v>
      </c>
    </row>
    <row r="99" spans="1:30" ht="15" thickBot="1" x14ac:dyDescent="0.4">
      <c r="G99" t="s">
        <v>18</v>
      </c>
      <c r="H99" t="s">
        <v>24</v>
      </c>
      <c r="J99" t="s">
        <v>1</v>
      </c>
      <c r="K99" t="s">
        <v>23</v>
      </c>
      <c r="M99" t="s">
        <v>7</v>
      </c>
      <c r="N99" t="s">
        <v>50</v>
      </c>
      <c r="P99" t="s">
        <v>16</v>
      </c>
      <c r="Q99" t="s">
        <v>51</v>
      </c>
      <c r="S99" t="s">
        <v>19</v>
      </c>
      <c r="T99" t="s">
        <v>53</v>
      </c>
      <c r="V99" t="s">
        <v>21</v>
      </c>
      <c r="W99" t="s">
        <v>54</v>
      </c>
      <c r="Y99" t="s">
        <v>56</v>
      </c>
      <c r="Z99" t="s">
        <v>57</v>
      </c>
      <c r="AB99" t="s">
        <v>62</v>
      </c>
      <c r="AC99" t="s">
        <v>63</v>
      </c>
    </row>
    <row r="100" spans="1:30" ht="15" thickBot="1" x14ac:dyDescent="0.4">
      <c r="A100" s="13" t="s">
        <v>30</v>
      </c>
      <c r="B100" s="13" t="s">
        <v>29</v>
      </c>
      <c r="C100" s="13" t="s">
        <v>31</v>
      </c>
      <c r="D100" s="13" t="s">
        <v>27</v>
      </c>
      <c r="E100" s="13" t="s">
        <v>25</v>
      </c>
      <c r="F100" s="30" t="s">
        <v>28</v>
      </c>
      <c r="G100" t="s">
        <v>18</v>
      </c>
      <c r="H100" t="s">
        <v>24</v>
      </c>
      <c r="I100" t="s">
        <v>190</v>
      </c>
      <c r="J100" t="s">
        <v>1</v>
      </c>
      <c r="K100" t="s">
        <v>23</v>
      </c>
      <c r="L100" t="s">
        <v>190</v>
      </c>
      <c r="M100" t="s">
        <v>7</v>
      </c>
      <c r="N100" t="s">
        <v>50</v>
      </c>
      <c r="O100" t="s">
        <v>190</v>
      </c>
      <c r="P100" t="s">
        <v>16</v>
      </c>
      <c r="Q100" t="s">
        <v>51</v>
      </c>
      <c r="R100" t="s">
        <v>190</v>
      </c>
      <c r="S100" t="s">
        <v>19</v>
      </c>
      <c r="T100" t="s">
        <v>53</v>
      </c>
      <c r="U100" t="s">
        <v>190</v>
      </c>
      <c r="V100" t="s">
        <v>21</v>
      </c>
      <c r="W100" t="s">
        <v>54</v>
      </c>
      <c r="X100" t="s">
        <v>190</v>
      </c>
      <c r="Y100" t="s">
        <v>56</v>
      </c>
      <c r="Z100" t="s">
        <v>57</v>
      </c>
      <c r="AA100" t="s">
        <v>190</v>
      </c>
      <c r="AB100" t="s">
        <v>62</v>
      </c>
      <c r="AC100" t="s">
        <v>63</v>
      </c>
      <c r="AD100" t="s">
        <v>190</v>
      </c>
    </row>
    <row r="101" spans="1:30" ht="15" thickBot="1" x14ac:dyDescent="0.4">
      <c r="A101" s="13" t="s">
        <v>187</v>
      </c>
      <c r="B101" s="13" t="s">
        <v>58</v>
      </c>
      <c r="C101" s="13" t="s">
        <v>65</v>
      </c>
      <c r="D101" s="13">
        <v>4.0795999999999999E-2</v>
      </c>
      <c r="E101" s="21">
        <v>44890</v>
      </c>
      <c r="F101" s="30">
        <v>2.7263773148148149</v>
      </c>
      <c r="G101" s="8" t="s">
        <v>188</v>
      </c>
      <c r="H101" s="8" t="s">
        <v>189</v>
      </c>
      <c r="I101" t="s">
        <v>190</v>
      </c>
      <c r="J101" s="8" t="s">
        <v>188</v>
      </c>
      <c r="K101" s="8" t="s">
        <v>189</v>
      </c>
      <c r="L101" t="s">
        <v>190</v>
      </c>
      <c r="M101" s="8" t="s">
        <v>188</v>
      </c>
      <c r="N101" s="8" t="s">
        <v>189</v>
      </c>
      <c r="O101" t="s">
        <v>190</v>
      </c>
      <c r="P101" s="8" t="s">
        <v>188</v>
      </c>
      <c r="Q101" s="8" t="s">
        <v>189</v>
      </c>
      <c r="R101" t="s">
        <v>190</v>
      </c>
      <c r="S101" s="8" t="s">
        <v>188</v>
      </c>
      <c r="T101" s="8" t="s">
        <v>189</v>
      </c>
      <c r="U101" t="s">
        <v>190</v>
      </c>
      <c r="V101" s="8" t="s">
        <v>188</v>
      </c>
      <c r="W101" s="8" t="s">
        <v>189</v>
      </c>
      <c r="X101" t="s">
        <v>190</v>
      </c>
      <c r="Y101" s="8" t="s">
        <v>188</v>
      </c>
      <c r="Z101" s="8" t="s">
        <v>189</v>
      </c>
      <c r="AA101" t="s">
        <v>190</v>
      </c>
      <c r="AB101" s="8" t="s">
        <v>188</v>
      </c>
      <c r="AC101" s="8" t="s">
        <v>189</v>
      </c>
      <c r="AD101" t="s">
        <v>190</v>
      </c>
    </row>
    <row r="102" spans="1:30" ht="15" thickBot="1" x14ac:dyDescent="0.4">
      <c r="A102" s="10" t="s">
        <v>204</v>
      </c>
      <c r="B102" s="11" t="s">
        <v>58</v>
      </c>
      <c r="C102" s="11" t="s">
        <v>65</v>
      </c>
      <c r="D102" s="11">
        <v>1</v>
      </c>
      <c r="E102" s="20">
        <v>44904</v>
      </c>
      <c r="F102" s="31">
        <v>0.11574074074074074</v>
      </c>
      <c r="G102" s="8">
        <v>196.4</v>
      </c>
      <c r="H102" s="8">
        <v>15.06</v>
      </c>
      <c r="I102">
        <v>1.9640000000000001E-2</v>
      </c>
      <c r="J102" s="8">
        <v>1223</v>
      </c>
      <c r="K102" s="8">
        <v>45.3</v>
      </c>
      <c r="L102">
        <v>0.12230000000000001</v>
      </c>
      <c r="O102">
        <v>0</v>
      </c>
      <c r="P102" s="8">
        <v>278.10000000000002</v>
      </c>
      <c r="Q102" s="8">
        <v>30.59</v>
      </c>
      <c r="R102">
        <v>2.7810000000000001E-2</v>
      </c>
      <c r="S102" s="8">
        <v>11200</v>
      </c>
      <c r="T102" s="8">
        <v>98.33</v>
      </c>
      <c r="U102">
        <v>1.1200000000000001</v>
      </c>
      <c r="V102" s="8">
        <v>14770</v>
      </c>
      <c r="W102" s="8">
        <v>117.2</v>
      </c>
      <c r="X102">
        <v>1.4770000000000001</v>
      </c>
      <c r="Y102" s="8">
        <v>3105</v>
      </c>
      <c r="Z102" s="8">
        <v>61.13</v>
      </c>
      <c r="AA102">
        <v>0.3105</v>
      </c>
      <c r="AD102">
        <v>0</v>
      </c>
    </row>
    <row r="104" spans="1:30" ht="15" thickBot="1" x14ac:dyDescent="0.4">
      <c r="G104" t="s">
        <v>18</v>
      </c>
      <c r="H104" t="s">
        <v>24</v>
      </c>
      <c r="J104" t="s">
        <v>1</v>
      </c>
      <c r="K104" t="s">
        <v>23</v>
      </c>
      <c r="M104" t="s">
        <v>7</v>
      </c>
      <c r="N104" t="s">
        <v>50</v>
      </c>
      <c r="P104" t="s">
        <v>16</v>
      </c>
      <c r="Q104" t="s">
        <v>51</v>
      </c>
      <c r="S104" t="s">
        <v>19</v>
      </c>
      <c r="T104" t="s">
        <v>53</v>
      </c>
      <c r="V104" t="s">
        <v>21</v>
      </c>
      <c r="W104" t="s">
        <v>54</v>
      </c>
      <c r="Y104" t="s">
        <v>56</v>
      </c>
      <c r="Z104" t="s">
        <v>57</v>
      </c>
      <c r="AB104" t="s">
        <v>62</v>
      </c>
      <c r="AC104" t="s">
        <v>63</v>
      </c>
    </row>
    <row r="105" spans="1:30" ht="15" thickBot="1" x14ac:dyDescent="0.4">
      <c r="A105" s="13" t="s">
        <v>30</v>
      </c>
      <c r="B105" s="13" t="s">
        <v>29</v>
      </c>
      <c r="C105" s="13" t="s">
        <v>31</v>
      </c>
      <c r="D105" s="13" t="s">
        <v>27</v>
      </c>
      <c r="E105" s="13" t="s">
        <v>25</v>
      </c>
      <c r="F105" s="30" t="s">
        <v>28</v>
      </c>
      <c r="G105" t="s">
        <v>18</v>
      </c>
      <c r="H105" t="s">
        <v>24</v>
      </c>
      <c r="I105" t="s">
        <v>190</v>
      </c>
      <c r="J105" t="s">
        <v>1</v>
      </c>
      <c r="K105" t="s">
        <v>23</v>
      </c>
      <c r="L105" t="s">
        <v>190</v>
      </c>
      <c r="M105" t="s">
        <v>7</v>
      </c>
      <c r="N105" t="s">
        <v>50</v>
      </c>
      <c r="O105" t="s">
        <v>190</v>
      </c>
      <c r="P105" t="s">
        <v>16</v>
      </c>
      <c r="Q105" t="s">
        <v>51</v>
      </c>
      <c r="R105" t="s">
        <v>190</v>
      </c>
      <c r="S105" t="s">
        <v>19</v>
      </c>
      <c r="T105" t="s">
        <v>53</v>
      </c>
      <c r="U105" t="s">
        <v>190</v>
      </c>
      <c r="V105" t="s">
        <v>21</v>
      </c>
      <c r="W105" t="s">
        <v>54</v>
      </c>
      <c r="X105" t="s">
        <v>190</v>
      </c>
      <c r="Y105" t="s">
        <v>56</v>
      </c>
      <c r="Z105" t="s">
        <v>57</v>
      </c>
      <c r="AA105" t="s">
        <v>190</v>
      </c>
      <c r="AB105" t="s">
        <v>62</v>
      </c>
      <c r="AC105" t="s">
        <v>63</v>
      </c>
      <c r="AD105" t="s">
        <v>190</v>
      </c>
    </row>
    <row r="106" spans="1:30" ht="15" thickBot="1" x14ac:dyDescent="0.4">
      <c r="A106" s="13" t="s">
        <v>187</v>
      </c>
      <c r="B106" s="13" t="s">
        <v>58</v>
      </c>
      <c r="C106" s="13" t="s">
        <v>65</v>
      </c>
      <c r="D106" s="13">
        <v>4.0795999999999999E-2</v>
      </c>
      <c r="E106" s="21">
        <v>44890</v>
      </c>
      <c r="F106" s="30">
        <v>2.7263773148148149</v>
      </c>
      <c r="G106" s="8" t="s">
        <v>188</v>
      </c>
      <c r="H106" s="8" t="s">
        <v>189</v>
      </c>
      <c r="I106" t="s">
        <v>190</v>
      </c>
      <c r="J106" s="8" t="s">
        <v>188</v>
      </c>
      <c r="K106" s="8" t="s">
        <v>189</v>
      </c>
      <c r="L106" t="s">
        <v>190</v>
      </c>
      <c r="M106" s="8" t="s">
        <v>188</v>
      </c>
      <c r="N106" s="8" t="s">
        <v>189</v>
      </c>
      <c r="O106" t="s">
        <v>190</v>
      </c>
      <c r="P106" s="8" t="s">
        <v>188</v>
      </c>
      <c r="Q106" s="8" t="s">
        <v>189</v>
      </c>
      <c r="R106" t="s">
        <v>190</v>
      </c>
      <c r="S106" s="8" t="s">
        <v>188</v>
      </c>
      <c r="T106" s="8" t="s">
        <v>189</v>
      </c>
      <c r="U106" t="s">
        <v>190</v>
      </c>
      <c r="V106" s="8" t="s">
        <v>188</v>
      </c>
      <c r="W106" s="8" t="s">
        <v>189</v>
      </c>
      <c r="X106" t="s">
        <v>190</v>
      </c>
      <c r="Y106" s="8" t="s">
        <v>188</v>
      </c>
      <c r="Z106" s="8" t="s">
        <v>189</v>
      </c>
      <c r="AA106" t="s">
        <v>190</v>
      </c>
      <c r="AB106" s="8" t="s">
        <v>188</v>
      </c>
      <c r="AC106" s="8" t="s">
        <v>189</v>
      </c>
      <c r="AD106" t="s">
        <v>190</v>
      </c>
    </row>
    <row r="107" spans="1:30" ht="15" thickBot="1" x14ac:dyDescent="0.4">
      <c r="A107" s="10" t="s">
        <v>204</v>
      </c>
      <c r="B107" s="11" t="s">
        <v>58</v>
      </c>
      <c r="C107" s="11" t="s">
        <v>65</v>
      </c>
      <c r="D107" s="11">
        <v>1</v>
      </c>
      <c r="E107" s="20">
        <v>44904</v>
      </c>
      <c r="F107" s="31">
        <v>0.11574074074074074</v>
      </c>
      <c r="G107" s="8">
        <v>196.4</v>
      </c>
      <c r="H107" s="8">
        <v>15.06</v>
      </c>
      <c r="I107">
        <v>1.9640000000000001E-2</v>
      </c>
      <c r="J107" s="8">
        <v>1223</v>
      </c>
      <c r="K107" s="8">
        <v>45.3</v>
      </c>
      <c r="L107">
        <v>0.12230000000000001</v>
      </c>
      <c r="O107">
        <v>0</v>
      </c>
      <c r="P107" s="8">
        <v>278.10000000000002</v>
      </c>
      <c r="Q107" s="8">
        <v>30.59</v>
      </c>
      <c r="R107">
        <v>2.7810000000000001E-2</v>
      </c>
      <c r="S107" s="8">
        <v>11200</v>
      </c>
      <c r="T107" s="8">
        <v>98.33</v>
      </c>
      <c r="U107">
        <v>1.1200000000000001</v>
      </c>
      <c r="V107" s="8">
        <v>14770</v>
      </c>
      <c r="W107" s="8">
        <v>117.2</v>
      </c>
      <c r="X107">
        <v>1.4770000000000001</v>
      </c>
      <c r="Y107" s="8">
        <v>3105</v>
      </c>
      <c r="Z107" s="8">
        <v>61.13</v>
      </c>
      <c r="AA107">
        <v>0.3105</v>
      </c>
      <c r="AD107">
        <v>0</v>
      </c>
    </row>
    <row r="109" spans="1:30" ht="15" thickBot="1" x14ac:dyDescent="0.4">
      <c r="G109" t="s">
        <v>18</v>
      </c>
      <c r="H109" t="s">
        <v>24</v>
      </c>
      <c r="J109" t="s">
        <v>1</v>
      </c>
      <c r="K109" t="s">
        <v>23</v>
      </c>
      <c r="M109" t="s">
        <v>7</v>
      </c>
      <c r="N109" t="s">
        <v>50</v>
      </c>
      <c r="P109" t="s">
        <v>16</v>
      </c>
      <c r="Q109" t="s">
        <v>51</v>
      </c>
      <c r="S109" t="s">
        <v>19</v>
      </c>
      <c r="T109" t="s">
        <v>53</v>
      </c>
      <c r="V109" t="s">
        <v>21</v>
      </c>
      <c r="W109" t="s">
        <v>54</v>
      </c>
      <c r="Y109" t="s">
        <v>56</v>
      </c>
      <c r="Z109" t="s">
        <v>57</v>
      </c>
      <c r="AB109" t="s">
        <v>62</v>
      </c>
      <c r="AC109" t="s">
        <v>63</v>
      </c>
    </row>
    <row r="110" spans="1:30" ht="15" thickBot="1" x14ac:dyDescent="0.4">
      <c r="A110" s="13" t="s">
        <v>30</v>
      </c>
      <c r="B110" s="13" t="s">
        <v>29</v>
      </c>
      <c r="C110" s="13" t="s">
        <v>31</v>
      </c>
      <c r="D110" s="13" t="s">
        <v>27</v>
      </c>
      <c r="E110" s="13" t="s">
        <v>25</v>
      </c>
      <c r="F110" s="30" t="s">
        <v>28</v>
      </c>
      <c r="G110" t="s">
        <v>18</v>
      </c>
      <c r="H110" t="s">
        <v>24</v>
      </c>
      <c r="I110" t="s">
        <v>190</v>
      </c>
      <c r="J110" t="s">
        <v>1</v>
      </c>
      <c r="K110" t="s">
        <v>23</v>
      </c>
      <c r="L110" t="s">
        <v>190</v>
      </c>
      <c r="M110" t="s">
        <v>7</v>
      </c>
      <c r="N110" t="s">
        <v>50</v>
      </c>
      <c r="O110" t="s">
        <v>190</v>
      </c>
      <c r="P110" t="s">
        <v>16</v>
      </c>
      <c r="Q110" t="s">
        <v>51</v>
      </c>
      <c r="R110" t="s">
        <v>190</v>
      </c>
      <c r="S110" t="s">
        <v>19</v>
      </c>
      <c r="T110" t="s">
        <v>53</v>
      </c>
      <c r="U110" t="s">
        <v>190</v>
      </c>
      <c r="V110" t="s">
        <v>21</v>
      </c>
      <c r="W110" t="s">
        <v>54</v>
      </c>
      <c r="X110" t="s">
        <v>190</v>
      </c>
      <c r="Y110" t="s">
        <v>56</v>
      </c>
      <c r="Z110" t="s">
        <v>57</v>
      </c>
      <c r="AA110" t="s">
        <v>190</v>
      </c>
      <c r="AB110" t="s">
        <v>62</v>
      </c>
      <c r="AC110" t="s">
        <v>63</v>
      </c>
      <c r="AD110" t="s">
        <v>190</v>
      </c>
    </row>
    <row r="111" spans="1:30" ht="15" thickBot="1" x14ac:dyDescent="0.4">
      <c r="A111" s="13" t="s">
        <v>187</v>
      </c>
      <c r="B111" s="13" t="s">
        <v>58</v>
      </c>
      <c r="C111" s="13" t="s">
        <v>65</v>
      </c>
      <c r="D111" s="13">
        <v>4.0795999999999999E-2</v>
      </c>
      <c r="E111" s="21">
        <v>44890</v>
      </c>
      <c r="F111" s="30">
        <v>2.7263773148148149</v>
      </c>
      <c r="G111" s="8" t="s">
        <v>188</v>
      </c>
      <c r="H111" s="8" t="s">
        <v>189</v>
      </c>
      <c r="I111" t="s">
        <v>190</v>
      </c>
      <c r="J111" s="8" t="s">
        <v>188</v>
      </c>
      <c r="K111" s="8" t="s">
        <v>189</v>
      </c>
      <c r="L111" t="s">
        <v>190</v>
      </c>
      <c r="M111" s="8" t="s">
        <v>188</v>
      </c>
      <c r="N111" s="8" t="s">
        <v>189</v>
      </c>
      <c r="O111" t="s">
        <v>190</v>
      </c>
      <c r="P111" s="8" t="s">
        <v>188</v>
      </c>
      <c r="Q111" s="8" t="s">
        <v>189</v>
      </c>
      <c r="R111" t="s">
        <v>190</v>
      </c>
      <c r="S111" s="8" t="s">
        <v>188</v>
      </c>
      <c r="T111" s="8" t="s">
        <v>189</v>
      </c>
      <c r="U111" t="s">
        <v>190</v>
      </c>
      <c r="V111" s="8" t="s">
        <v>188</v>
      </c>
      <c r="W111" s="8" t="s">
        <v>189</v>
      </c>
      <c r="X111" t="s">
        <v>190</v>
      </c>
      <c r="Y111" s="8" t="s">
        <v>188</v>
      </c>
      <c r="Z111" s="8" t="s">
        <v>189</v>
      </c>
      <c r="AA111" t="s">
        <v>190</v>
      </c>
      <c r="AB111" s="8" t="s">
        <v>188</v>
      </c>
      <c r="AC111" s="8" t="s">
        <v>189</v>
      </c>
      <c r="AD111" t="s">
        <v>190</v>
      </c>
    </row>
    <row r="112" spans="1:30" ht="15" thickBot="1" x14ac:dyDescent="0.4">
      <c r="A112" s="10" t="s">
        <v>204</v>
      </c>
      <c r="B112" s="11" t="s">
        <v>58</v>
      </c>
      <c r="C112" s="11" t="s">
        <v>65</v>
      </c>
      <c r="D112" s="11">
        <v>1</v>
      </c>
      <c r="E112" s="20">
        <v>44904</v>
      </c>
      <c r="F112" s="31">
        <v>0.11574074074074074</v>
      </c>
      <c r="G112" s="8">
        <v>196.4</v>
      </c>
      <c r="H112" s="8">
        <v>15.06</v>
      </c>
      <c r="I112">
        <v>1.9640000000000001E-2</v>
      </c>
      <c r="J112" s="8">
        <v>1223</v>
      </c>
      <c r="K112" s="8">
        <v>45.3</v>
      </c>
      <c r="L112">
        <v>0.12230000000000001</v>
      </c>
      <c r="O112">
        <v>0</v>
      </c>
      <c r="P112" s="8">
        <v>278.10000000000002</v>
      </c>
      <c r="Q112" s="8">
        <v>30.59</v>
      </c>
      <c r="R112">
        <v>2.7810000000000001E-2</v>
      </c>
      <c r="S112" s="8">
        <v>11200</v>
      </c>
      <c r="T112" s="8">
        <v>98.33</v>
      </c>
      <c r="U112">
        <v>1.1200000000000001</v>
      </c>
      <c r="V112" s="8">
        <v>14770</v>
      </c>
      <c r="W112" s="8">
        <v>117.2</v>
      </c>
      <c r="X112">
        <v>1.4770000000000001</v>
      </c>
      <c r="Y112" s="8">
        <v>3105</v>
      </c>
      <c r="Z112" s="8">
        <v>61.13</v>
      </c>
      <c r="AA112">
        <v>0.3105</v>
      </c>
      <c r="AD112">
        <v>0</v>
      </c>
    </row>
    <row r="114" spans="1:30" ht="15" thickBot="1" x14ac:dyDescent="0.4">
      <c r="G114" t="s">
        <v>18</v>
      </c>
      <c r="H114" t="s">
        <v>24</v>
      </c>
      <c r="J114" t="s">
        <v>1</v>
      </c>
      <c r="K114" t="s">
        <v>23</v>
      </c>
      <c r="M114" t="s">
        <v>7</v>
      </c>
      <c r="N114" t="s">
        <v>50</v>
      </c>
      <c r="P114" t="s">
        <v>16</v>
      </c>
      <c r="Q114" t="s">
        <v>51</v>
      </c>
      <c r="S114" t="s">
        <v>19</v>
      </c>
      <c r="T114" t="s">
        <v>53</v>
      </c>
      <c r="V114" t="s">
        <v>21</v>
      </c>
      <c r="W114" t="s">
        <v>54</v>
      </c>
      <c r="Y114" t="s">
        <v>56</v>
      </c>
      <c r="Z114" t="s">
        <v>57</v>
      </c>
      <c r="AB114" t="s">
        <v>62</v>
      </c>
      <c r="AC114" t="s">
        <v>63</v>
      </c>
    </row>
    <row r="115" spans="1:30" ht="15" thickBot="1" x14ac:dyDescent="0.4">
      <c r="A115" s="13" t="s">
        <v>30</v>
      </c>
      <c r="B115" s="13" t="s">
        <v>29</v>
      </c>
      <c r="C115" s="13" t="s">
        <v>31</v>
      </c>
      <c r="D115" s="13" t="s">
        <v>27</v>
      </c>
      <c r="E115" s="13" t="s">
        <v>25</v>
      </c>
      <c r="F115" s="30" t="s">
        <v>28</v>
      </c>
      <c r="G115" t="s">
        <v>18</v>
      </c>
      <c r="H115" t="s">
        <v>24</v>
      </c>
      <c r="I115" t="s">
        <v>190</v>
      </c>
      <c r="J115" t="s">
        <v>1</v>
      </c>
      <c r="K115" t="s">
        <v>23</v>
      </c>
      <c r="L115" t="s">
        <v>190</v>
      </c>
      <c r="M115" t="s">
        <v>7</v>
      </c>
      <c r="N115" t="s">
        <v>50</v>
      </c>
      <c r="O115" t="s">
        <v>190</v>
      </c>
      <c r="P115" t="s">
        <v>16</v>
      </c>
      <c r="Q115" t="s">
        <v>51</v>
      </c>
      <c r="R115" t="s">
        <v>190</v>
      </c>
      <c r="S115" t="s">
        <v>19</v>
      </c>
      <c r="T115" t="s">
        <v>53</v>
      </c>
      <c r="U115" t="s">
        <v>190</v>
      </c>
      <c r="V115" t="s">
        <v>21</v>
      </c>
      <c r="W115" t="s">
        <v>54</v>
      </c>
      <c r="X115" t="s">
        <v>190</v>
      </c>
      <c r="Y115" t="s">
        <v>56</v>
      </c>
      <c r="Z115" t="s">
        <v>57</v>
      </c>
      <c r="AA115" t="s">
        <v>190</v>
      </c>
      <c r="AB115" t="s">
        <v>62</v>
      </c>
      <c r="AC115" t="s">
        <v>63</v>
      </c>
      <c r="AD115" t="s">
        <v>190</v>
      </c>
    </row>
    <row r="116" spans="1:30" ht="15" thickBot="1" x14ac:dyDescent="0.4">
      <c r="A116" s="13" t="s">
        <v>187</v>
      </c>
      <c r="B116" s="13" t="s">
        <v>58</v>
      </c>
      <c r="C116" s="13" t="s">
        <v>65</v>
      </c>
      <c r="D116" s="13">
        <v>4.0795999999999999E-2</v>
      </c>
      <c r="E116" s="21">
        <v>44890</v>
      </c>
      <c r="F116" s="30">
        <v>2.7263773148148149</v>
      </c>
      <c r="G116" s="8" t="s">
        <v>188</v>
      </c>
      <c r="H116" s="8" t="s">
        <v>189</v>
      </c>
      <c r="I116" t="s">
        <v>190</v>
      </c>
      <c r="J116" s="8" t="s">
        <v>188</v>
      </c>
      <c r="K116" s="8" t="s">
        <v>189</v>
      </c>
      <c r="L116" t="s">
        <v>190</v>
      </c>
      <c r="M116" s="8" t="s">
        <v>188</v>
      </c>
      <c r="N116" s="8" t="s">
        <v>189</v>
      </c>
      <c r="O116" t="s">
        <v>190</v>
      </c>
      <c r="P116" s="8" t="s">
        <v>188</v>
      </c>
      <c r="Q116" s="8" t="s">
        <v>189</v>
      </c>
      <c r="R116" t="s">
        <v>190</v>
      </c>
      <c r="S116" s="8" t="s">
        <v>188</v>
      </c>
      <c r="T116" s="8" t="s">
        <v>189</v>
      </c>
      <c r="U116" t="s">
        <v>190</v>
      </c>
      <c r="V116" s="8" t="s">
        <v>188</v>
      </c>
      <c r="W116" s="8" t="s">
        <v>189</v>
      </c>
      <c r="X116" t="s">
        <v>190</v>
      </c>
      <c r="Y116" s="8" t="s">
        <v>188</v>
      </c>
      <c r="Z116" s="8" t="s">
        <v>189</v>
      </c>
      <c r="AA116" t="s">
        <v>190</v>
      </c>
      <c r="AB116" s="8" t="s">
        <v>188</v>
      </c>
      <c r="AC116" s="8" t="s">
        <v>189</v>
      </c>
      <c r="AD116" t="s">
        <v>190</v>
      </c>
    </row>
    <row r="117" spans="1:30" ht="15" thickBot="1" x14ac:dyDescent="0.4">
      <c r="A117" s="10" t="s">
        <v>204</v>
      </c>
      <c r="B117" s="11" t="s">
        <v>58</v>
      </c>
      <c r="C117" s="11" t="s">
        <v>65</v>
      </c>
      <c r="D117" s="11">
        <v>1</v>
      </c>
      <c r="E117" s="20">
        <v>44904</v>
      </c>
      <c r="F117" s="31">
        <v>0.11574074074074074</v>
      </c>
      <c r="G117" s="8">
        <v>196.4</v>
      </c>
      <c r="H117" s="8">
        <v>15.06</v>
      </c>
      <c r="I117">
        <v>1.9640000000000001E-2</v>
      </c>
      <c r="J117" s="8">
        <v>1223</v>
      </c>
      <c r="K117" s="8">
        <v>45.3</v>
      </c>
      <c r="L117">
        <v>0.12230000000000001</v>
      </c>
      <c r="O117">
        <v>0</v>
      </c>
      <c r="P117" s="8">
        <v>278.10000000000002</v>
      </c>
      <c r="Q117" s="8">
        <v>30.59</v>
      </c>
      <c r="R117">
        <v>2.7810000000000001E-2</v>
      </c>
      <c r="S117" s="8">
        <v>11200</v>
      </c>
      <c r="T117" s="8">
        <v>98.33</v>
      </c>
      <c r="U117">
        <v>1.1200000000000001</v>
      </c>
      <c r="V117" s="8">
        <v>14770</v>
      </c>
      <c r="W117" s="8">
        <v>117.2</v>
      </c>
      <c r="X117">
        <v>1.4770000000000001</v>
      </c>
      <c r="Y117" s="8">
        <v>3105</v>
      </c>
      <c r="Z117" s="8">
        <v>61.13</v>
      </c>
      <c r="AA117">
        <v>0.3105</v>
      </c>
      <c r="AD117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ImportRPTDataToExcel">
                <anchor moveWithCells="1" sizeWithCells="1">
                  <from>
                    <xdr:col>1</xdr:col>
                    <xdr:colOff>520700</xdr:colOff>
                    <xdr:row>1</xdr:row>
                    <xdr:rowOff>31750</xdr:rowOff>
                  </from>
                  <to>
                    <xdr:col>6</xdr:col>
                    <xdr:colOff>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136D6-36F8-4104-B220-041977B60013}">
  <sheetPr codeName="Sheet8"/>
  <dimension ref="A1:BJ6"/>
  <sheetViews>
    <sheetView workbookViewId="0">
      <selection activeCell="A4" sqref="A4:XFD6"/>
    </sheetView>
  </sheetViews>
  <sheetFormatPr defaultRowHeight="14.5" x14ac:dyDescent="0.35"/>
  <cols>
    <col min="6" max="6" width="12.08984375" customWidth="1"/>
  </cols>
  <sheetData>
    <row r="1" spans="1:62" ht="15" thickBot="1" x14ac:dyDescent="0.4">
      <c r="G1" s="13" t="s">
        <v>18</v>
      </c>
      <c r="H1" s="9" t="s">
        <v>24</v>
      </c>
      <c r="I1" s="9"/>
      <c r="J1" s="9"/>
      <c r="K1" s="9"/>
      <c r="L1" s="13" t="s">
        <v>1</v>
      </c>
      <c r="M1" s="9" t="s">
        <v>23</v>
      </c>
      <c r="N1" s="9"/>
      <c r="O1" s="9"/>
      <c r="P1" s="9"/>
      <c r="Q1" s="13" t="s">
        <v>2</v>
      </c>
      <c r="R1" s="9" t="s">
        <v>41</v>
      </c>
      <c r="S1" s="9"/>
      <c r="T1" s="9"/>
      <c r="U1" s="9"/>
      <c r="V1" s="13" t="s">
        <v>7</v>
      </c>
      <c r="W1" s="9" t="s">
        <v>50</v>
      </c>
      <c r="X1" s="9"/>
      <c r="Y1" s="9"/>
      <c r="Z1" s="9"/>
      <c r="AA1" s="13" t="s">
        <v>16</v>
      </c>
      <c r="AB1" s="9" t="s">
        <v>51</v>
      </c>
      <c r="AC1" s="9"/>
      <c r="AD1" s="9"/>
      <c r="AE1" s="9"/>
      <c r="AF1" s="13" t="s">
        <v>17</v>
      </c>
      <c r="AG1" s="9" t="s">
        <v>52</v>
      </c>
      <c r="AH1" s="9"/>
      <c r="AI1" s="9"/>
      <c r="AJ1" s="9"/>
      <c r="AK1" s="13" t="s">
        <v>19</v>
      </c>
      <c r="AL1" s="9" t="s">
        <v>53</v>
      </c>
      <c r="AM1" s="9"/>
      <c r="AN1" s="9"/>
      <c r="AO1" s="9"/>
      <c r="AP1" s="13" t="s">
        <v>21</v>
      </c>
      <c r="AQ1" s="9" t="s">
        <v>54</v>
      </c>
      <c r="AR1" s="9"/>
      <c r="AS1" s="9"/>
      <c r="AT1" s="9"/>
      <c r="AU1" s="13" t="s">
        <v>56</v>
      </c>
      <c r="AV1" s="9" t="s">
        <v>57</v>
      </c>
      <c r="AW1" s="9"/>
      <c r="AX1" s="9"/>
      <c r="AY1" s="9"/>
      <c r="AZ1" s="13" t="s">
        <v>60</v>
      </c>
      <c r="BA1" s="9" t="s">
        <v>61</v>
      </c>
      <c r="BB1" s="9"/>
      <c r="BC1" s="9"/>
      <c r="BD1" s="9"/>
      <c r="BE1" s="13" t="s">
        <v>62</v>
      </c>
      <c r="BF1" s="9" t="s">
        <v>63</v>
      </c>
      <c r="BG1" s="9"/>
      <c r="BH1" s="9"/>
      <c r="BI1" s="12"/>
    </row>
    <row r="2" spans="1:62" ht="15" thickBot="1" x14ac:dyDescent="0.4">
      <c r="A2" s="13" t="s">
        <v>118</v>
      </c>
      <c r="B2" s="13"/>
      <c r="C2" s="13" t="s">
        <v>42</v>
      </c>
      <c r="D2" s="13" t="s">
        <v>76</v>
      </c>
      <c r="E2" s="13">
        <v>6.5266000000000005E-2</v>
      </c>
      <c r="F2" s="21">
        <v>44869</v>
      </c>
      <c r="G2" s="29">
        <v>2.8232291666666662</v>
      </c>
      <c r="H2" s="22">
        <v>60.569000000000003</v>
      </c>
      <c r="I2" s="22"/>
      <c r="J2" s="9" t="s">
        <v>26</v>
      </c>
      <c r="K2" s="22">
        <v>4.4945000000000004</v>
      </c>
      <c r="L2" s="22">
        <v>7.08352</v>
      </c>
      <c r="M2" s="22">
        <v>28.585999999999999</v>
      </c>
      <c r="N2" s="22"/>
      <c r="O2" s="9" t="s">
        <v>26</v>
      </c>
      <c r="P2" s="22">
        <v>1.238</v>
      </c>
      <c r="Q2" s="22">
        <v>7.1887499999999998</v>
      </c>
      <c r="R2" s="13"/>
      <c r="S2" s="9"/>
      <c r="T2" s="9" t="s">
        <v>26</v>
      </c>
      <c r="U2" s="9"/>
      <c r="V2" s="22">
        <v>0.41612399999999999</v>
      </c>
      <c r="W2" s="22">
        <v>3.2403</v>
      </c>
      <c r="X2" s="22"/>
      <c r="Y2" s="9" t="s">
        <v>26</v>
      </c>
      <c r="Z2" s="22">
        <v>0.24134</v>
      </c>
      <c r="AA2" s="22">
        <v>1.52227</v>
      </c>
      <c r="AB2" s="22">
        <v>3.0569999999999999</v>
      </c>
      <c r="AC2" s="22"/>
      <c r="AD2" s="9" t="s">
        <v>26</v>
      </c>
      <c r="AE2" s="22">
        <v>0.14269000000000001</v>
      </c>
      <c r="AF2" s="22">
        <v>0.45990500000000001</v>
      </c>
      <c r="AG2" s="13"/>
      <c r="AH2" s="9"/>
      <c r="AI2" s="9" t="s">
        <v>26</v>
      </c>
      <c r="AJ2" s="9"/>
      <c r="AK2" s="22">
        <v>5.2455299999999996</v>
      </c>
      <c r="AL2" s="22">
        <v>5.9219999999999997</v>
      </c>
      <c r="AM2" s="22"/>
      <c r="AN2" s="9" t="s">
        <v>26</v>
      </c>
      <c r="AO2" s="22">
        <v>0.27726000000000001</v>
      </c>
      <c r="AP2" s="22">
        <v>1.4815499999999999</v>
      </c>
      <c r="AQ2" s="22">
        <v>5.1978</v>
      </c>
      <c r="AR2" s="22"/>
      <c r="AS2" s="9" t="s">
        <v>26</v>
      </c>
      <c r="AT2" s="22">
        <v>0.44205</v>
      </c>
      <c r="AU2" s="22">
        <v>1.79338</v>
      </c>
      <c r="AV2" s="9"/>
      <c r="AW2" s="9"/>
      <c r="AX2" s="9" t="s">
        <v>26</v>
      </c>
      <c r="AY2" s="9"/>
      <c r="AZ2" s="22">
        <v>10.747299999999999</v>
      </c>
      <c r="BA2" s="22">
        <v>1.2486999999999999</v>
      </c>
      <c r="BB2" s="22"/>
      <c r="BC2" s="9" t="s">
        <v>26</v>
      </c>
      <c r="BD2" s="22">
        <v>8.1548999999999996E-2</v>
      </c>
      <c r="BE2" s="22">
        <v>0.46957900000000002</v>
      </c>
      <c r="BF2" s="22">
        <v>12.536</v>
      </c>
      <c r="BG2" s="22"/>
      <c r="BH2" s="9" t="s">
        <v>26</v>
      </c>
      <c r="BI2" s="22">
        <v>1.0075000000000001</v>
      </c>
      <c r="BJ2" s="23">
        <v>7.9140600000000001</v>
      </c>
    </row>
    <row r="3" spans="1:62" ht="15" thickBot="1" x14ac:dyDescent="0.4">
      <c r="A3" s="13" t="s">
        <v>119</v>
      </c>
      <c r="B3" s="13"/>
      <c r="C3" s="13" t="s">
        <v>42</v>
      </c>
      <c r="D3" s="13" t="s">
        <v>76</v>
      </c>
      <c r="E3" s="13">
        <v>6.4757999999999996E-2</v>
      </c>
      <c r="F3" s="21">
        <v>44872</v>
      </c>
      <c r="G3" s="29">
        <v>1.0422222222222222</v>
      </c>
      <c r="H3" s="22">
        <v>55.701000000000001</v>
      </c>
      <c r="I3" s="22"/>
      <c r="J3" s="9" t="s">
        <v>26</v>
      </c>
      <c r="K3" s="22">
        <v>11.186999999999999</v>
      </c>
      <c r="L3" s="22">
        <v>8.9867899999999992</v>
      </c>
      <c r="M3" s="22">
        <v>31.468</v>
      </c>
      <c r="N3" s="22"/>
      <c r="O3" s="9" t="s">
        <v>26</v>
      </c>
      <c r="P3" s="22">
        <v>5.7061000000000002</v>
      </c>
      <c r="Q3" s="22">
        <v>12.38</v>
      </c>
      <c r="R3" s="13"/>
      <c r="S3" s="9"/>
      <c r="T3" s="9" t="s">
        <v>26</v>
      </c>
      <c r="U3" s="9"/>
      <c r="V3" s="22">
        <v>0.70305300000000004</v>
      </c>
      <c r="W3" s="22">
        <v>3.282</v>
      </c>
      <c r="X3" s="22"/>
      <c r="Y3" s="9" t="s">
        <v>26</v>
      </c>
      <c r="Z3" s="22">
        <v>2.0085000000000002</v>
      </c>
      <c r="AA3" s="22">
        <v>1.4981500000000001</v>
      </c>
      <c r="AB3" s="22">
        <v>2.7103000000000002</v>
      </c>
      <c r="AC3" s="22"/>
      <c r="AD3" s="9" t="s">
        <v>26</v>
      </c>
      <c r="AE3" s="22">
        <v>0.19578999999999999</v>
      </c>
      <c r="AF3" s="22">
        <v>0.74966299999999997</v>
      </c>
      <c r="AG3" s="13"/>
      <c r="AH3" s="9"/>
      <c r="AI3" s="9" t="s">
        <v>26</v>
      </c>
      <c r="AJ3" s="9"/>
      <c r="AK3" s="22">
        <v>8.89194</v>
      </c>
      <c r="AL3" s="22">
        <v>4.4973999999999998</v>
      </c>
      <c r="AM3" s="22"/>
      <c r="AN3" s="9" t="s">
        <v>26</v>
      </c>
      <c r="AO3" s="22">
        <v>0.40649000000000002</v>
      </c>
      <c r="AP3" s="22">
        <v>2.31359</v>
      </c>
      <c r="AQ3" s="22">
        <v>5.6169000000000002</v>
      </c>
      <c r="AR3" s="22"/>
      <c r="AS3" s="9" t="s">
        <v>26</v>
      </c>
      <c r="AT3" s="22">
        <v>0.52276999999999996</v>
      </c>
      <c r="AU3" s="22">
        <v>2.19984</v>
      </c>
      <c r="AV3" s="22">
        <v>22.497</v>
      </c>
      <c r="AW3" s="22"/>
      <c r="AX3" s="9" t="s">
        <v>26</v>
      </c>
      <c r="AY3" s="22">
        <v>9.2335999999999991</v>
      </c>
      <c r="AZ3" s="22">
        <v>15.032</v>
      </c>
      <c r="BA3" s="22">
        <v>1.0376000000000001</v>
      </c>
      <c r="BB3" s="22"/>
      <c r="BC3" s="9" t="s">
        <v>26</v>
      </c>
      <c r="BD3" s="22">
        <v>0.60267999999999999</v>
      </c>
      <c r="BE3" s="22">
        <v>0.68936799999999998</v>
      </c>
      <c r="BF3" s="9"/>
      <c r="BG3" s="9"/>
      <c r="BH3" s="9" t="s">
        <v>26</v>
      </c>
      <c r="BI3" s="9"/>
      <c r="BJ3" s="23">
        <v>12.0916</v>
      </c>
    </row>
    <row r="4" spans="1:62" ht="15" thickBot="1" x14ac:dyDescent="0.4">
      <c r="A4" s="13" t="s">
        <v>130</v>
      </c>
      <c r="B4" s="13"/>
      <c r="C4" s="13" t="s">
        <v>42</v>
      </c>
      <c r="D4" s="13" t="s">
        <v>76</v>
      </c>
      <c r="E4" s="13">
        <v>6.5232999999999999E-2</v>
      </c>
      <c r="F4" s="21">
        <v>44865</v>
      </c>
      <c r="G4" s="29">
        <v>0.93994212962962964</v>
      </c>
      <c r="H4" s="22">
        <v>31.030999999999999</v>
      </c>
      <c r="I4" s="22"/>
      <c r="J4" s="9" t="s">
        <v>26</v>
      </c>
      <c r="K4" s="22">
        <v>8.0680999999999994</v>
      </c>
      <c r="L4" s="22">
        <v>7.8769099999999996</v>
      </c>
      <c r="M4" s="22">
        <v>37.015999999999998</v>
      </c>
      <c r="N4" s="22"/>
      <c r="O4" s="9" t="s">
        <v>26</v>
      </c>
      <c r="P4" s="22">
        <v>2.101</v>
      </c>
      <c r="Q4" s="22">
        <v>12.4688</v>
      </c>
      <c r="R4" s="13"/>
      <c r="S4" s="9"/>
      <c r="T4" s="9" t="s">
        <v>26</v>
      </c>
      <c r="U4" s="9"/>
      <c r="V4" s="22">
        <v>0.70979499999999995</v>
      </c>
      <c r="W4" s="22">
        <v>2.0924</v>
      </c>
      <c r="X4" s="22"/>
      <c r="Y4" s="9" t="s">
        <v>26</v>
      </c>
      <c r="Z4" s="22">
        <v>0.32813999999999999</v>
      </c>
      <c r="AA4" s="22">
        <v>2.2520899999999999</v>
      </c>
      <c r="AB4" s="22">
        <v>2.5684999999999998</v>
      </c>
      <c r="AC4" s="22"/>
      <c r="AD4" s="9" t="s">
        <v>26</v>
      </c>
      <c r="AE4" s="22">
        <v>0.19361999999999999</v>
      </c>
      <c r="AF4" s="22">
        <v>0.73597999999999997</v>
      </c>
      <c r="AG4" s="13"/>
      <c r="AH4" s="9"/>
      <c r="AI4" s="9" t="s">
        <v>26</v>
      </c>
      <c r="AJ4" s="9"/>
      <c r="AK4" s="22">
        <v>9.5094999999999992</v>
      </c>
      <c r="AL4" s="22">
        <v>3.6930999999999998</v>
      </c>
      <c r="AM4" s="22"/>
      <c r="AN4" s="9" t="s">
        <v>26</v>
      </c>
      <c r="AO4" s="22">
        <v>0.40287000000000001</v>
      </c>
      <c r="AP4" s="22">
        <v>2.3385600000000002</v>
      </c>
      <c r="AQ4" s="22">
        <v>3.0771999999999999</v>
      </c>
      <c r="AR4" s="22"/>
      <c r="AS4" s="9" t="s">
        <v>26</v>
      </c>
      <c r="AT4" s="22">
        <v>0.50722999999999996</v>
      </c>
      <c r="AU4" s="22">
        <v>2.3182800000000001</v>
      </c>
      <c r="AV4" s="9"/>
      <c r="AW4" s="9"/>
      <c r="AX4" s="9" t="s">
        <v>26</v>
      </c>
      <c r="AY4" s="9"/>
      <c r="AZ4" s="22">
        <v>18.602499999999999</v>
      </c>
      <c r="BA4" s="22">
        <v>0.51475000000000004</v>
      </c>
      <c r="BB4" s="22"/>
      <c r="BC4" s="9" t="s">
        <v>26</v>
      </c>
      <c r="BD4" s="22">
        <v>0.10662000000000001</v>
      </c>
      <c r="BE4" s="22">
        <v>0.58881399999999995</v>
      </c>
      <c r="BF4" s="9"/>
      <c r="BG4" s="9"/>
      <c r="BH4" s="9" t="s">
        <v>26</v>
      </c>
      <c r="BI4" s="9"/>
      <c r="BJ4" s="23">
        <v>12.2845</v>
      </c>
    </row>
    <row r="5" spans="1:62" ht="15.5" customHeight="1" thickBot="1" x14ac:dyDescent="0.4">
      <c r="A5" s="13" t="s">
        <v>131</v>
      </c>
      <c r="B5" s="13"/>
      <c r="C5" s="13" t="s">
        <v>42</v>
      </c>
      <c r="D5" s="13" t="s">
        <v>76</v>
      </c>
      <c r="E5" s="13">
        <v>6.7200999999999997E-2</v>
      </c>
      <c r="F5" s="21">
        <v>44866</v>
      </c>
      <c r="G5" s="29">
        <v>0.99543981481481492</v>
      </c>
      <c r="H5" s="22">
        <v>32.314999999999998</v>
      </c>
      <c r="I5" s="22"/>
      <c r="J5" s="9" t="s">
        <v>26</v>
      </c>
      <c r="K5" s="22">
        <v>7.4802</v>
      </c>
      <c r="L5" s="22">
        <v>8.1926900000000007</v>
      </c>
      <c r="M5" s="22">
        <v>43.21</v>
      </c>
      <c r="N5" s="22"/>
      <c r="O5" s="9" t="s">
        <v>26</v>
      </c>
      <c r="P5" s="22">
        <v>2.1137000000000001</v>
      </c>
      <c r="Q5" s="22">
        <v>12.2865</v>
      </c>
      <c r="R5" s="13"/>
      <c r="S5" s="9"/>
      <c r="T5" s="9" t="s">
        <v>26</v>
      </c>
      <c r="U5" s="9"/>
      <c r="V5" s="22">
        <v>0.66302099999999997</v>
      </c>
      <c r="W5" s="22">
        <v>1.7282999999999999</v>
      </c>
      <c r="X5" s="22"/>
      <c r="Y5" s="9" t="s">
        <v>26</v>
      </c>
      <c r="Z5" s="22">
        <v>21.294</v>
      </c>
      <c r="AA5" s="22">
        <v>1.5841499999999999</v>
      </c>
      <c r="AB5" s="22">
        <v>2.2082999999999999</v>
      </c>
      <c r="AC5" s="22"/>
      <c r="AD5" s="9" t="s">
        <v>26</v>
      </c>
      <c r="AE5" s="22">
        <v>0.17832000000000001</v>
      </c>
      <c r="AF5" s="22">
        <v>0.725553</v>
      </c>
      <c r="AG5" s="13"/>
      <c r="AH5" s="9"/>
      <c r="AI5" s="9" t="s">
        <v>26</v>
      </c>
      <c r="AJ5" s="9"/>
      <c r="AK5" s="22">
        <v>8.9173100000000005</v>
      </c>
      <c r="AL5" s="22">
        <v>2.8178999999999998</v>
      </c>
      <c r="AM5" s="22"/>
      <c r="AN5" s="9" t="s">
        <v>26</v>
      </c>
      <c r="AO5" s="22">
        <v>0.37694</v>
      </c>
      <c r="AP5" s="22">
        <v>2.2843399999999998</v>
      </c>
      <c r="AQ5" s="22">
        <v>3.4621</v>
      </c>
      <c r="AR5" s="22"/>
      <c r="AS5" s="9" t="s">
        <v>26</v>
      </c>
      <c r="AT5" s="22">
        <v>0.98143999999999998</v>
      </c>
      <c r="AU5" s="22">
        <v>2.1888700000000001</v>
      </c>
      <c r="AV5" s="22">
        <v>19.225000000000001</v>
      </c>
      <c r="AW5" s="22"/>
      <c r="AX5" s="9" t="s">
        <v>26</v>
      </c>
      <c r="AY5" s="22">
        <v>2.3592</v>
      </c>
      <c r="AZ5" s="22">
        <v>16.383700000000001</v>
      </c>
      <c r="BA5" s="22">
        <v>0.67666000000000004</v>
      </c>
      <c r="BB5" s="22"/>
      <c r="BC5" s="9" t="s">
        <v>26</v>
      </c>
      <c r="BD5" s="22">
        <v>0.11036</v>
      </c>
      <c r="BE5" s="22">
        <v>0.58139200000000002</v>
      </c>
      <c r="BF5" s="9"/>
      <c r="BG5" s="9"/>
      <c r="BH5" s="9" t="s">
        <v>26</v>
      </c>
      <c r="BI5" s="9"/>
      <c r="BJ5" s="23">
        <v>11.676399999999999</v>
      </c>
    </row>
    <row r="6" spans="1:62" ht="15" thickBot="1" x14ac:dyDescent="0.4">
      <c r="A6" s="13" t="s">
        <v>132</v>
      </c>
      <c r="B6" s="13"/>
      <c r="C6" s="13" t="s">
        <v>42</v>
      </c>
      <c r="D6" s="13" t="s">
        <v>76</v>
      </c>
      <c r="E6" s="13">
        <v>6.6133999999999998E-2</v>
      </c>
      <c r="F6" s="21">
        <v>44868</v>
      </c>
      <c r="G6" s="29">
        <v>1.0815393518518519</v>
      </c>
      <c r="H6" s="18">
        <v>28.305</v>
      </c>
      <c r="I6" s="18"/>
      <c r="J6" s="10" t="s">
        <v>26</v>
      </c>
      <c r="K6" s="18">
        <v>5.7458</v>
      </c>
      <c r="L6" s="18">
        <v>9.4375300000000006</v>
      </c>
      <c r="M6" s="18">
        <v>34.027999999999999</v>
      </c>
      <c r="N6" s="18"/>
      <c r="O6" s="10" t="s">
        <v>26</v>
      </c>
      <c r="P6" s="18">
        <v>1.9167000000000001</v>
      </c>
      <c r="Q6" s="18">
        <v>11.959199999999999</v>
      </c>
      <c r="R6" s="11"/>
      <c r="S6" s="10"/>
      <c r="T6" s="10" t="s">
        <v>26</v>
      </c>
      <c r="U6" s="10"/>
      <c r="V6" s="18">
        <v>0.62836800000000004</v>
      </c>
      <c r="W6" s="18">
        <v>1.3053999999999999</v>
      </c>
      <c r="X6" s="18"/>
      <c r="Y6" s="10" t="s">
        <v>26</v>
      </c>
      <c r="Z6" s="18">
        <v>0.26318999999999998</v>
      </c>
      <c r="AA6" s="18">
        <v>2.1844899999999998</v>
      </c>
      <c r="AB6" s="18">
        <v>1.4709000000000001</v>
      </c>
      <c r="AC6" s="18"/>
      <c r="AD6" s="10" t="s">
        <v>26</v>
      </c>
      <c r="AE6" s="18">
        <v>0.15631</v>
      </c>
      <c r="AF6" s="18">
        <v>0.69652199999999997</v>
      </c>
      <c r="AG6" s="11"/>
      <c r="AH6" s="10"/>
      <c r="AI6" s="10" t="s">
        <v>26</v>
      </c>
      <c r="AJ6" s="10"/>
      <c r="AK6" s="18">
        <v>8.3511399999999991</v>
      </c>
      <c r="AL6" s="18">
        <v>3.3555000000000001</v>
      </c>
      <c r="AM6" s="18"/>
      <c r="AN6" s="10" t="s">
        <v>26</v>
      </c>
      <c r="AO6" s="18">
        <v>0.36042999999999997</v>
      </c>
      <c r="AP6" s="18">
        <v>2.01885</v>
      </c>
      <c r="AQ6" s="18">
        <v>3.1968000000000001</v>
      </c>
      <c r="AR6" s="18"/>
      <c r="AS6" s="10" t="s">
        <v>26</v>
      </c>
      <c r="AT6" s="18">
        <v>0.48675000000000002</v>
      </c>
      <c r="AU6" s="18">
        <v>2.12541</v>
      </c>
      <c r="AV6" s="18">
        <v>15.337999999999999</v>
      </c>
      <c r="AW6" s="18"/>
      <c r="AX6" s="10" t="s">
        <v>26</v>
      </c>
      <c r="AY6" s="18">
        <v>2.2381000000000002</v>
      </c>
      <c r="AZ6" s="18">
        <v>15.7948</v>
      </c>
      <c r="BA6" s="18">
        <v>0.64886999999999995</v>
      </c>
      <c r="BB6" s="18"/>
      <c r="BC6" s="10" t="s">
        <v>26</v>
      </c>
      <c r="BD6" s="18">
        <v>0.10007000000000001</v>
      </c>
      <c r="BE6" s="18">
        <v>0.51068199999999997</v>
      </c>
      <c r="BF6" s="18">
        <v>14.206</v>
      </c>
      <c r="BG6" s="18"/>
      <c r="BH6" s="10" t="s">
        <v>26</v>
      </c>
      <c r="BI6" s="18">
        <v>5.1276000000000002</v>
      </c>
      <c r="BJ6" s="19">
        <v>10.020300000000001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6FD48-351E-4FD5-B213-9E6DB16EBCEB}">
  <sheetPr codeName="Sheet10"/>
  <dimension ref="A1:AB12"/>
  <sheetViews>
    <sheetView topLeftCell="E1" workbookViewId="0">
      <selection activeCell="A8" sqref="A8:XFD12"/>
    </sheetView>
  </sheetViews>
  <sheetFormatPr defaultRowHeight="14.5" x14ac:dyDescent="0.35"/>
  <cols>
    <col min="1" max="1" width="9.1796875" bestFit="1" customWidth="1"/>
    <col min="2" max="2" width="15.08984375" customWidth="1"/>
    <col min="3" max="3" width="9.36328125" customWidth="1"/>
    <col min="4" max="4" width="8.81640625" bestFit="1" customWidth="1"/>
    <col min="5" max="5" width="14.453125" bestFit="1" customWidth="1"/>
    <col min="6" max="6" width="13.7265625" bestFit="1" customWidth="1"/>
    <col min="7" max="7" width="12.26953125" customWidth="1"/>
    <col min="8" max="8" width="2" customWidth="1"/>
    <col min="9" max="9" width="17.1796875" customWidth="1"/>
    <col min="10" max="10" width="13" customWidth="1"/>
    <col min="11" max="11" width="1.6328125" customWidth="1"/>
    <col min="12" max="12" width="17.1796875" bestFit="1" customWidth="1"/>
    <col min="13" max="13" width="12.08984375" customWidth="1"/>
    <col min="14" max="14" width="2.26953125" customWidth="1"/>
    <col min="15" max="15" width="17.1796875" bestFit="1" customWidth="1"/>
    <col min="16" max="16" width="18.1796875" customWidth="1"/>
    <col min="17" max="17" width="1.90625" customWidth="1"/>
    <col min="18" max="18" width="17.1796875" bestFit="1" customWidth="1"/>
    <col min="19" max="19" width="16.36328125" customWidth="1"/>
    <col min="20" max="20" width="2.453125" customWidth="1"/>
    <col min="21" max="21" width="17.1796875" bestFit="1" customWidth="1"/>
    <col min="22" max="22" width="27.81640625" bestFit="1" customWidth="1"/>
    <col min="23" max="23" width="2.81640625" customWidth="1"/>
    <col min="24" max="24" width="17.1796875" bestFit="1" customWidth="1"/>
    <col min="25" max="25" width="27.81640625" bestFit="1" customWidth="1"/>
    <col min="26" max="26" width="2.6328125" customWidth="1"/>
    <col min="27" max="27" width="17.1796875" bestFit="1" customWidth="1"/>
    <col min="28" max="28" width="27.81640625" bestFit="1" customWidth="1"/>
    <col min="29" max="29" width="2.6328125" customWidth="1"/>
    <col min="30" max="30" width="17.1796875" bestFit="1" customWidth="1"/>
  </cols>
  <sheetData>
    <row r="1" spans="1:28" ht="15" thickBot="1" x14ac:dyDescent="0.4">
      <c r="A1" s="13"/>
      <c r="B1" s="9"/>
      <c r="C1" s="9"/>
      <c r="D1" s="9"/>
      <c r="E1" s="9"/>
      <c r="F1" s="9"/>
      <c r="G1" s="33" t="s">
        <v>18</v>
      </c>
      <c r="H1" s="9" t="s">
        <v>24</v>
      </c>
      <c r="I1" s="9"/>
      <c r="J1" s="33" t="s">
        <v>1</v>
      </c>
      <c r="K1" s="9" t="s">
        <v>23</v>
      </c>
      <c r="L1" s="9"/>
      <c r="M1" s="33" t="s">
        <v>2</v>
      </c>
      <c r="N1" s="9" t="s">
        <v>41</v>
      </c>
      <c r="O1" s="9"/>
      <c r="P1" s="33" t="s">
        <v>7</v>
      </c>
      <c r="Q1" s="9" t="s">
        <v>50</v>
      </c>
      <c r="R1" s="9"/>
      <c r="S1" s="33" t="s">
        <v>16</v>
      </c>
      <c r="T1" s="9" t="s">
        <v>51</v>
      </c>
      <c r="U1" s="9"/>
      <c r="V1" s="33" t="s">
        <v>19</v>
      </c>
      <c r="W1" s="9" t="s">
        <v>53</v>
      </c>
      <c r="X1" s="9"/>
      <c r="Y1" s="33" t="s">
        <v>21</v>
      </c>
      <c r="Z1" s="9" t="s">
        <v>54</v>
      </c>
      <c r="AA1" s="12"/>
      <c r="AB1" s="34"/>
    </row>
    <row r="2" spans="1:28" ht="15" thickBot="1" x14ac:dyDescent="0.4">
      <c r="A2" s="13" t="s">
        <v>30</v>
      </c>
      <c r="B2" s="13" t="s">
        <v>29</v>
      </c>
      <c r="C2" s="13" t="s">
        <v>29</v>
      </c>
      <c r="D2" s="13" t="s">
        <v>27</v>
      </c>
      <c r="E2" s="13" t="s">
        <v>25</v>
      </c>
      <c r="F2" s="13" t="s">
        <v>28</v>
      </c>
      <c r="G2" s="10" t="s">
        <v>34</v>
      </c>
      <c r="H2" s="10"/>
      <c r="I2" s="10" t="s">
        <v>35</v>
      </c>
      <c r="J2" s="10" t="s">
        <v>34</v>
      </c>
      <c r="K2" s="10"/>
      <c r="L2" s="10" t="s">
        <v>35</v>
      </c>
      <c r="M2" s="10" t="s">
        <v>34</v>
      </c>
      <c r="N2" s="10"/>
      <c r="O2" s="10" t="s">
        <v>35</v>
      </c>
      <c r="P2" s="10" t="s">
        <v>34</v>
      </c>
      <c r="Q2" s="10"/>
      <c r="R2" s="10" t="s">
        <v>35</v>
      </c>
      <c r="S2" s="10" t="s">
        <v>34</v>
      </c>
      <c r="T2" s="10"/>
      <c r="U2" s="10" t="s">
        <v>35</v>
      </c>
      <c r="V2" s="10" t="s">
        <v>34</v>
      </c>
      <c r="W2" s="10"/>
      <c r="X2" s="10" t="s">
        <v>35</v>
      </c>
      <c r="Y2" s="10" t="s">
        <v>34</v>
      </c>
      <c r="Z2" s="10"/>
      <c r="AA2" s="24" t="s">
        <v>35</v>
      </c>
    </row>
    <row r="3" spans="1:28" ht="15" thickBot="1" x14ac:dyDescent="0.4">
      <c r="A3" s="11" t="s">
        <v>187</v>
      </c>
      <c r="B3" s="11" t="s">
        <v>209</v>
      </c>
      <c r="C3" s="11" t="s">
        <v>210</v>
      </c>
      <c r="D3" s="11">
        <v>4.0795999999999999E-2</v>
      </c>
      <c r="E3" s="20">
        <v>44893</v>
      </c>
      <c r="F3" s="54">
        <f>172906.4/86400</f>
        <v>2.0012314814814816</v>
      </c>
      <c r="G3" s="28">
        <v>619.97</v>
      </c>
      <c r="H3" s="15" t="s">
        <v>26</v>
      </c>
      <c r="I3" s="16">
        <v>35</v>
      </c>
      <c r="J3" s="28">
        <v>47.933</v>
      </c>
      <c r="K3" s="15" t="s">
        <v>26</v>
      </c>
      <c r="L3" s="16">
        <v>4</v>
      </c>
      <c r="M3" s="28">
        <v>23.327999999999999</v>
      </c>
      <c r="N3" s="15" t="s">
        <v>26</v>
      </c>
      <c r="O3" s="16">
        <v>1</v>
      </c>
      <c r="P3" s="28">
        <v>39.598999999999997</v>
      </c>
      <c r="Q3" s="15" t="s">
        <v>26</v>
      </c>
      <c r="R3" s="16">
        <v>4</v>
      </c>
      <c r="S3" s="28">
        <v>41.627000000000002</v>
      </c>
      <c r="T3" s="15" t="s">
        <v>26</v>
      </c>
      <c r="U3" s="16">
        <v>2</v>
      </c>
      <c r="V3" s="28">
        <v>33</v>
      </c>
      <c r="W3" s="15" t="s">
        <v>26</v>
      </c>
      <c r="X3" s="16">
        <v>1</v>
      </c>
      <c r="Y3" s="28">
        <v>33.018999999999998</v>
      </c>
      <c r="Z3" s="15" t="s">
        <v>26</v>
      </c>
      <c r="AA3" s="17">
        <v>2</v>
      </c>
    </row>
    <row r="4" spans="1:28" ht="15" thickBot="1" x14ac:dyDescent="0.4">
      <c r="A4" s="11" t="s">
        <v>187</v>
      </c>
      <c r="B4" s="11" t="s">
        <v>209</v>
      </c>
      <c r="C4" s="11" t="s">
        <v>48</v>
      </c>
      <c r="D4" s="11">
        <v>4.0795999999999999E-2</v>
      </c>
      <c r="E4" s="53" t="s">
        <v>212</v>
      </c>
      <c r="F4" s="55">
        <f>152384/86400</f>
        <v>1.7637037037037038</v>
      </c>
      <c r="G4" s="36">
        <v>693.29</v>
      </c>
      <c r="H4" s="15" t="s">
        <v>26</v>
      </c>
      <c r="I4" s="36">
        <v>150</v>
      </c>
      <c r="J4" s="36">
        <v>61.036999999999999</v>
      </c>
      <c r="K4" s="15" t="s">
        <v>26</v>
      </c>
      <c r="L4" s="36">
        <v>6</v>
      </c>
      <c r="M4" s="36">
        <v>27.196999999999999</v>
      </c>
      <c r="N4" s="15" t="s">
        <v>26</v>
      </c>
      <c r="O4" s="36">
        <v>2</v>
      </c>
      <c r="P4" s="36">
        <v>43.401000000000003</v>
      </c>
      <c r="Q4" s="15" t="s">
        <v>26</v>
      </c>
      <c r="R4" s="36">
        <v>3</v>
      </c>
      <c r="S4" s="36">
        <v>43.890999999999998</v>
      </c>
      <c r="T4" s="15" t="s">
        <v>26</v>
      </c>
      <c r="U4" s="36">
        <v>2</v>
      </c>
      <c r="V4" s="36">
        <v>40.9</v>
      </c>
      <c r="W4" s="15" t="s">
        <v>26</v>
      </c>
      <c r="X4" s="36">
        <v>2</v>
      </c>
      <c r="Y4" s="36">
        <v>40.408999999999999</v>
      </c>
      <c r="Z4" s="15" t="s">
        <v>26</v>
      </c>
      <c r="AA4" s="48">
        <v>2</v>
      </c>
    </row>
    <row r="5" spans="1:28" ht="15" thickBot="1" x14ac:dyDescent="0.4">
      <c r="A5" s="31" t="s">
        <v>187</v>
      </c>
      <c r="B5" s="13" t="s">
        <v>209</v>
      </c>
      <c r="C5" s="13" t="s">
        <v>211</v>
      </c>
      <c r="D5" s="13">
        <v>4.0795999999999999E-2</v>
      </c>
      <c r="E5" s="53">
        <v>44890</v>
      </c>
      <c r="F5" s="55">
        <f>235559.7/86400</f>
        <v>2.726385416666667</v>
      </c>
      <c r="G5" s="36">
        <v>630.42999999999995</v>
      </c>
      <c r="H5" s="37" t="s">
        <v>26</v>
      </c>
      <c r="I5" s="36">
        <v>36</v>
      </c>
      <c r="J5" s="36">
        <v>50.265000000000001</v>
      </c>
      <c r="K5" s="37" t="s">
        <v>26</v>
      </c>
      <c r="L5" s="36">
        <v>6</v>
      </c>
      <c r="M5" s="36">
        <v>13.132999999999999</v>
      </c>
      <c r="N5" s="37" t="s">
        <v>26</v>
      </c>
      <c r="O5" s="36">
        <v>1</v>
      </c>
      <c r="P5" s="36">
        <v>40.229999999999997</v>
      </c>
      <c r="Q5" s="37" t="s">
        <v>26</v>
      </c>
      <c r="R5" s="36">
        <v>2</v>
      </c>
      <c r="S5" s="36">
        <v>41.463000000000001</v>
      </c>
      <c r="T5" s="37" t="s">
        <v>26</v>
      </c>
      <c r="U5" s="36">
        <v>2</v>
      </c>
      <c r="V5" s="36">
        <v>32.94</v>
      </c>
      <c r="W5" s="37" t="s">
        <v>26</v>
      </c>
      <c r="X5" s="36">
        <v>3</v>
      </c>
      <c r="Y5" s="36">
        <v>31.030999999999999</v>
      </c>
      <c r="Z5" s="37" t="s">
        <v>26</v>
      </c>
      <c r="AA5" s="48">
        <v>2</v>
      </c>
    </row>
    <row r="6" spans="1:28" s="10" customFormat="1" ht="15" thickBot="1" x14ac:dyDescent="0.4">
      <c r="A6" s="11" t="s">
        <v>187</v>
      </c>
      <c r="B6" s="10" t="s">
        <v>208</v>
      </c>
      <c r="G6" s="10">
        <v>621</v>
      </c>
      <c r="H6" s="10" t="s">
        <v>26</v>
      </c>
      <c r="I6" s="10">
        <v>9</v>
      </c>
      <c r="J6" s="10">
        <v>44.4</v>
      </c>
      <c r="K6" s="10" t="s">
        <v>26</v>
      </c>
      <c r="L6" s="10">
        <v>2.6</v>
      </c>
      <c r="M6" s="10">
        <v>24.9</v>
      </c>
      <c r="N6" s="10" t="s">
        <v>26</v>
      </c>
      <c r="O6" s="10">
        <v>0.3</v>
      </c>
      <c r="P6" s="10">
        <v>38.700000000000003</v>
      </c>
      <c r="Q6" s="10" t="s">
        <v>26</v>
      </c>
      <c r="R6" s="10">
        <v>0.9</v>
      </c>
      <c r="S6" s="10">
        <v>38.200000000000003</v>
      </c>
      <c r="T6" s="10" t="s">
        <v>26</v>
      </c>
      <c r="U6" s="10">
        <v>1</v>
      </c>
      <c r="V6" s="10">
        <v>34.1</v>
      </c>
      <c r="W6" s="10" t="s">
        <v>26</v>
      </c>
      <c r="X6" s="10">
        <v>1.4</v>
      </c>
      <c r="Y6" s="10">
        <v>34.1</v>
      </c>
      <c r="Z6" s="10" t="s">
        <v>26</v>
      </c>
      <c r="AA6" s="24">
        <v>1.4</v>
      </c>
    </row>
    <row r="7" spans="1:28" ht="15" thickBot="1" x14ac:dyDescent="0.4"/>
    <row r="8" spans="1:28" ht="15" thickBot="1" x14ac:dyDescent="0.4">
      <c r="A8" s="13" t="s">
        <v>30</v>
      </c>
      <c r="B8" s="13" t="s">
        <v>29</v>
      </c>
      <c r="C8" s="13" t="s">
        <v>29</v>
      </c>
      <c r="D8" s="13" t="s">
        <v>27</v>
      </c>
      <c r="E8" s="13" t="s">
        <v>25</v>
      </c>
      <c r="F8" s="13" t="s">
        <v>28</v>
      </c>
      <c r="G8" t="s">
        <v>18</v>
      </c>
      <c r="J8" t="s">
        <v>1</v>
      </c>
      <c r="M8" t="s">
        <v>214</v>
      </c>
      <c r="P8" t="s">
        <v>213</v>
      </c>
      <c r="S8" t="s">
        <v>56</v>
      </c>
    </row>
    <row r="9" spans="1:28" ht="15" thickBot="1" x14ac:dyDescent="0.4">
      <c r="A9" s="11" t="s">
        <v>187</v>
      </c>
      <c r="B9" s="11" t="s">
        <v>209</v>
      </c>
      <c r="C9" s="11" t="s">
        <v>210</v>
      </c>
      <c r="D9" s="11">
        <v>4.0795999999999999E-2</v>
      </c>
      <c r="E9" s="20">
        <v>44893</v>
      </c>
      <c r="F9" s="54">
        <f>172906.4/86400</f>
        <v>2.0012314814814816</v>
      </c>
      <c r="G9" s="25">
        <v>619.97</v>
      </c>
      <c r="H9" s="9" t="s">
        <v>26</v>
      </c>
      <c r="I9" s="23">
        <v>35</v>
      </c>
      <c r="J9" s="25">
        <v>47.933</v>
      </c>
      <c r="K9" s="9" t="s">
        <v>26</v>
      </c>
      <c r="L9" s="23">
        <v>4</v>
      </c>
      <c r="M9" s="25">
        <v>39.598999999999997</v>
      </c>
      <c r="N9" s="9" t="s">
        <v>26</v>
      </c>
      <c r="O9" s="23">
        <v>4</v>
      </c>
      <c r="P9" s="25">
        <v>41.627000000000002</v>
      </c>
      <c r="Q9" s="9" t="s">
        <v>26</v>
      </c>
      <c r="R9" s="23">
        <v>2</v>
      </c>
      <c r="S9" s="22">
        <f>AVERAGE(V3,Y3)</f>
        <v>33.009500000000003</v>
      </c>
      <c r="T9" s="9" t="s">
        <v>26</v>
      </c>
      <c r="U9" s="23">
        <f>SQRT(X3^2+AA3^2)/2</f>
        <v>1.1180339887498949</v>
      </c>
    </row>
    <row r="10" spans="1:28" ht="15" thickBot="1" x14ac:dyDescent="0.4">
      <c r="A10" s="11" t="s">
        <v>187</v>
      </c>
      <c r="B10" s="11" t="s">
        <v>209</v>
      </c>
      <c r="C10" s="11" t="s">
        <v>48</v>
      </c>
      <c r="D10" s="11">
        <v>4.0795999999999999E-2</v>
      </c>
      <c r="E10" s="20" t="s">
        <v>212</v>
      </c>
      <c r="F10" s="56">
        <f>152384/86400</f>
        <v>1.7637037037037038</v>
      </c>
      <c r="G10" s="26">
        <v>693.29</v>
      </c>
      <c r="H10" s="10" t="s">
        <v>26</v>
      </c>
      <c r="I10" s="19">
        <v>150</v>
      </c>
      <c r="J10" s="26">
        <v>61.036999999999999</v>
      </c>
      <c r="K10" s="10" t="s">
        <v>26</v>
      </c>
      <c r="L10" s="19">
        <v>6</v>
      </c>
      <c r="M10" s="26">
        <v>43.401000000000003</v>
      </c>
      <c r="N10" s="10" t="s">
        <v>26</v>
      </c>
      <c r="O10" s="19">
        <v>3</v>
      </c>
      <c r="P10" s="26">
        <v>43.890999999999998</v>
      </c>
      <c r="Q10" s="10" t="s">
        <v>26</v>
      </c>
      <c r="R10" s="19">
        <v>2</v>
      </c>
      <c r="S10" s="18">
        <f t="shared" ref="S10:S11" si="0">AVERAGE(V4,Y4)</f>
        <v>40.654499999999999</v>
      </c>
      <c r="T10" s="10" t="s">
        <v>26</v>
      </c>
      <c r="U10" s="19">
        <f t="shared" ref="U10:U11" si="1">SQRT(X4^2+AA4^2)/2</f>
        <v>1.4142135623730951</v>
      </c>
    </row>
    <row r="11" spans="1:28" ht="15" thickBot="1" x14ac:dyDescent="0.4">
      <c r="A11" s="31" t="s">
        <v>187</v>
      </c>
      <c r="B11" s="13" t="s">
        <v>209</v>
      </c>
      <c r="C11" s="13" t="s">
        <v>211</v>
      </c>
      <c r="D11" s="13">
        <v>4.0795999999999999E-2</v>
      </c>
      <c r="E11" s="20">
        <v>44890</v>
      </c>
      <c r="F11" s="56">
        <f>235559.7/86400</f>
        <v>2.726385416666667</v>
      </c>
      <c r="G11" s="26">
        <v>630.42999999999995</v>
      </c>
      <c r="H11" s="10" t="s">
        <v>26</v>
      </c>
      <c r="I11" s="19">
        <v>36.107999999999997</v>
      </c>
      <c r="J11" s="38">
        <v>48.048000000000002</v>
      </c>
      <c r="K11" s="37" t="s">
        <v>26</v>
      </c>
      <c r="L11" s="48">
        <v>5</v>
      </c>
      <c r="M11" s="38">
        <v>42.868000000000002</v>
      </c>
      <c r="N11" s="37" t="s">
        <v>26</v>
      </c>
      <c r="O11" s="48">
        <v>2</v>
      </c>
      <c r="P11" s="38">
        <v>41</v>
      </c>
      <c r="Q11" s="37" t="s">
        <v>26</v>
      </c>
      <c r="R11" s="48">
        <v>2</v>
      </c>
      <c r="S11" s="36">
        <f t="shared" si="0"/>
        <v>31.985499999999998</v>
      </c>
      <c r="T11" s="37" t="s">
        <v>26</v>
      </c>
      <c r="U11" s="48">
        <f t="shared" si="1"/>
        <v>1.8027756377319946</v>
      </c>
    </row>
    <row r="12" spans="1:28" ht="15" thickBot="1" x14ac:dyDescent="0.4">
      <c r="A12" s="11" t="s">
        <v>187</v>
      </c>
      <c r="B12" s="10" t="s">
        <v>208</v>
      </c>
      <c r="C12" s="10"/>
      <c r="D12" s="10"/>
      <c r="E12" s="10"/>
      <c r="F12" s="10"/>
      <c r="G12" s="11">
        <v>621</v>
      </c>
      <c r="H12" s="10" t="s">
        <v>26</v>
      </c>
      <c r="I12" s="24">
        <v>9</v>
      </c>
      <c r="J12" s="11">
        <v>44.4</v>
      </c>
      <c r="K12" s="10" t="s">
        <v>26</v>
      </c>
      <c r="L12" s="24">
        <v>2.6</v>
      </c>
      <c r="M12" s="11">
        <v>38.700000000000003</v>
      </c>
      <c r="N12" s="10" t="s">
        <v>26</v>
      </c>
      <c r="O12" s="24">
        <v>0.9</v>
      </c>
      <c r="P12" s="11">
        <v>38.200000000000003</v>
      </c>
      <c r="Q12" s="10" t="s">
        <v>26</v>
      </c>
      <c r="R12" s="24">
        <v>1</v>
      </c>
      <c r="S12" s="10">
        <v>34.1</v>
      </c>
      <c r="T12" s="10" t="s">
        <v>26</v>
      </c>
      <c r="U12" s="24">
        <v>1.4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AC2CA-AE59-4AC4-8EDB-99575417567A}">
  <sheetPr codeName="Sheet7"/>
  <dimension ref="A1:BX35"/>
  <sheetViews>
    <sheetView topLeftCell="A7" workbookViewId="0">
      <selection activeCell="E36" sqref="E36"/>
    </sheetView>
  </sheetViews>
  <sheetFormatPr defaultRowHeight="14.5" x14ac:dyDescent="0.35"/>
  <cols>
    <col min="5" max="5" width="14.453125" bestFit="1" customWidth="1"/>
    <col min="6" max="6" width="13.7265625" bestFit="1" customWidth="1"/>
  </cols>
  <sheetData>
    <row r="1" spans="1:76" ht="15" thickBot="1" x14ac:dyDescent="0.4">
      <c r="G1" s="13" t="s">
        <v>18</v>
      </c>
      <c r="H1" s="9" t="s">
        <v>24</v>
      </c>
      <c r="I1" s="9"/>
      <c r="J1" s="9"/>
      <c r="K1" s="9"/>
      <c r="L1" s="13" t="s">
        <v>1</v>
      </c>
      <c r="M1" s="9" t="s">
        <v>23</v>
      </c>
      <c r="N1" s="9"/>
      <c r="O1" s="9"/>
      <c r="P1" s="9"/>
      <c r="Q1" s="13" t="s">
        <v>6</v>
      </c>
      <c r="R1" s="9" t="s">
        <v>32</v>
      </c>
      <c r="S1" s="9"/>
      <c r="T1" s="9"/>
      <c r="U1" s="9"/>
      <c r="V1" s="13" t="s">
        <v>2</v>
      </c>
      <c r="W1" s="9" t="s">
        <v>41</v>
      </c>
      <c r="X1" s="9"/>
      <c r="Y1" s="9"/>
      <c r="Z1" s="9"/>
      <c r="AA1" s="13" t="s">
        <v>7</v>
      </c>
      <c r="AB1" s="9" t="s">
        <v>50</v>
      </c>
      <c r="AC1" s="9"/>
      <c r="AD1" s="9"/>
      <c r="AE1" s="9"/>
      <c r="AF1" s="13" t="s">
        <v>16</v>
      </c>
      <c r="AG1" s="9" t="s">
        <v>51</v>
      </c>
      <c r="AH1" s="9"/>
      <c r="AI1" s="9"/>
      <c r="AJ1" s="9"/>
      <c r="AK1" s="13" t="s">
        <v>17</v>
      </c>
      <c r="AL1" s="9" t="s">
        <v>52</v>
      </c>
      <c r="AM1" s="9"/>
      <c r="AN1" s="9"/>
      <c r="AO1" s="9"/>
      <c r="AP1" s="13" t="s">
        <v>19</v>
      </c>
      <c r="AQ1" s="9" t="s">
        <v>53</v>
      </c>
      <c r="AR1" s="9"/>
      <c r="AS1" s="9"/>
      <c r="AT1" s="9"/>
      <c r="AU1" s="13" t="s">
        <v>20</v>
      </c>
      <c r="AV1" s="9" t="s">
        <v>59</v>
      </c>
      <c r="AW1" s="9"/>
      <c r="AX1" s="9"/>
      <c r="AY1" s="9"/>
      <c r="AZ1" s="13" t="s">
        <v>21</v>
      </c>
      <c r="BA1" s="9" t="s">
        <v>54</v>
      </c>
      <c r="BB1" s="9"/>
      <c r="BC1" s="9"/>
      <c r="BD1" s="9"/>
      <c r="BE1" s="13" t="s">
        <v>22</v>
      </c>
      <c r="BF1" s="9" t="s">
        <v>55</v>
      </c>
      <c r="BG1" s="9"/>
      <c r="BH1" s="9"/>
      <c r="BI1" s="9"/>
      <c r="BJ1" s="13" t="s">
        <v>56</v>
      </c>
      <c r="BK1" s="9" t="s">
        <v>57</v>
      </c>
      <c r="BL1" s="9"/>
      <c r="BM1" s="9"/>
      <c r="BN1" s="9"/>
      <c r="BO1" s="13" t="s">
        <v>60</v>
      </c>
      <c r="BP1" s="9" t="s">
        <v>61</v>
      </c>
      <c r="BQ1" s="9"/>
      <c r="BR1" s="9"/>
      <c r="BS1" s="9"/>
      <c r="BT1" s="13" t="s">
        <v>62</v>
      </c>
      <c r="BU1" s="9" t="s">
        <v>63</v>
      </c>
      <c r="BV1" s="9"/>
      <c r="BW1" s="9"/>
      <c r="BX1" s="12"/>
    </row>
    <row r="2" spans="1:76" ht="15" thickBot="1" x14ac:dyDescent="0.4">
      <c r="A2" s="13" t="s">
        <v>30</v>
      </c>
      <c r="B2" s="13" t="s">
        <v>29</v>
      </c>
      <c r="C2" s="13" t="s">
        <v>31</v>
      </c>
      <c r="D2" s="13" t="s">
        <v>27</v>
      </c>
      <c r="E2" s="13" t="s">
        <v>25</v>
      </c>
      <c r="F2" s="13" t="s">
        <v>28</v>
      </c>
      <c r="G2" s="13" t="s">
        <v>33</v>
      </c>
      <c r="H2" s="9" t="s">
        <v>34</v>
      </c>
      <c r="I2" s="9"/>
      <c r="J2" s="9" t="s">
        <v>35</v>
      </c>
      <c r="K2" s="9" t="s">
        <v>36</v>
      </c>
      <c r="L2" s="13" t="s">
        <v>33</v>
      </c>
      <c r="M2" s="9" t="s">
        <v>34</v>
      </c>
      <c r="N2" s="9"/>
      <c r="O2" s="9" t="s">
        <v>35</v>
      </c>
      <c r="P2" s="9" t="s">
        <v>36</v>
      </c>
      <c r="Q2" s="13" t="s">
        <v>33</v>
      </c>
      <c r="R2" s="9" t="s">
        <v>34</v>
      </c>
      <c r="S2" s="9"/>
      <c r="T2" s="9" t="s">
        <v>35</v>
      </c>
      <c r="U2" s="9" t="s">
        <v>36</v>
      </c>
      <c r="V2" s="13" t="s">
        <v>33</v>
      </c>
      <c r="W2" s="9" t="s">
        <v>34</v>
      </c>
      <c r="X2" s="9"/>
      <c r="Y2" s="9" t="s">
        <v>35</v>
      </c>
      <c r="Z2" s="9" t="s">
        <v>36</v>
      </c>
      <c r="AA2" s="13" t="s">
        <v>33</v>
      </c>
      <c r="AB2" s="9" t="s">
        <v>34</v>
      </c>
      <c r="AC2" s="9"/>
      <c r="AD2" s="9" t="s">
        <v>35</v>
      </c>
      <c r="AE2" s="9" t="s">
        <v>36</v>
      </c>
      <c r="AF2" s="13" t="s">
        <v>33</v>
      </c>
      <c r="AG2" s="9" t="s">
        <v>34</v>
      </c>
      <c r="AH2" s="9"/>
      <c r="AI2" s="9" t="s">
        <v>35</v>
      </c>
      <c r="AJ2" s="9" t="s">
        <v>36</v>
      </c>
      <c r="AK2" s="13" t="s">
        <v>33</v>
      </c>
      <c r="AL2" s="9" t="s">
        <v>34</v>
      </c>
      <c r="AM2" s="9"/>
      <c r="AN2" s="9" t="s">
        <v>35</v>
      </c>
      <c r="AO2" s="9" t="s">
        <v>36</v>
      </c>
      <c r="AP2" s="13" t="s">
        <v>33</v>
      </c>
      <c r="AQ2" s="9" t="s">
        <v>34</v>
      </c>
      <c r="AR2" s="9"/>
      <c r="AS2" s="9" t="s">
        <v>35</v>
      </c>
      <c r="AT2" s="9" t="s">
        <v>36</v>
      </c>
      <c r="AU2" s="13" t="s">
        <v>33</v>
      </c>
      <c r="AV2" s="9" t="s">
        <v>34</v>
      </c>
      <c r="AW2" s="9"/>
      <c r="AX2" s="9" t="s">
        <v>35</v>
      </c>
      <c r="AY2" s="9" t="s">
        <v>36</v>
      </c>
      <c r="AZ2" s="13" t="s">
        <v>33</v>
      </c>
      <c r="BA2" s="9" t="s">
        <v>34</v>
      </c>
      <c r="BB2" s="9"/>
      <c r="BC2" s="9" t="s">
        <v>35</v>
      </c>
      <c r="BD2" s="9" t="s">
        <v>36</v>
      </c>
      <c r="BE2" s="13" t="s">
        <v>33</v>
      </c>
      <c r="BF2" s="9" t="s">
        <v>34</v>
      </c>
      <c r="BG2" s="9"/>
      <c r="BH2" s="9" t="s">
        <v>35</v>
      </c>
      <c r="BI2" s="9" t="s">
        <v>36</v>
      </c>
      <c r="BJ2" s="13" t="s">
        <v>33</v>
      </c>
      <c r="BK2" s="9" t="s">
        <v>34</v>
      </c>
      <c r="BL2" s="9"/>
      <c r="BM2" s="9" t="s">
        <v>35</v>
      </c>
      <c r="BN2" s="9" t="s">
        <v>36</v>
      </c>
      <c r="BO2" s="13" t="s">
        <v>33</v>
      </c>
      <c r="BP2" s="9" t="s">
        <v>34</v>
      </c>
      <c r="BQ2" s="9"/>
      <c r="BR2" s="9" t="s">
        <v>35</v>
      </c>
      <c r="BS2" s="9" t="s">
        <v>36</v>
      </c>
      <c r="BT2" s="13" t="s">
        <v>33</v>
      </c>
      <c r="BU2" s="9" t="s">
        <v>34</v>
      </c>
      <c r="BV2" s="9"/>
      <c r="BW2" s="9" t="s">
        <v>35</v>
      </c>
      <c r="BX2" s="12" t="s">
        <v>36</v>
      </c>
    </row>
    <row r="3" spans="1:76" ht="15" thickBot="1" x14ac:dyDescent="0.4">
      <c r="A3" s="13" t="s">
        <v>64</v>
      </c>
      <c r="B3" s="13" t="s">
        <v>58</v>
      </c>
      <c r="C3" s="13" t="s">
        <v>65</v>
      </c>
      <c r="D3" s="13">
        <v>6.7449999999999996E-2</v>
      </c>
      <c r="E3" s="21">
        <v>44831</v>
      </c>
      <c r="F3" s="13">
        <v>1.8365625000000001</v>
      </c>
      <c r="G3" s="13"/>
      <c r="H3" s="22">
        <v>57.58</v>
      </c>
      <c r="I3" s="9" t="s">
        <v>26</v>
      </c>
      <c r="J3" s="22">
        <v>3.7456999999999998</v>
      </c>
      <c r="K3" s="22">
        <v>6.37087</v>
      </c>
      <c r="L3" s="13"/>
      <c r="M3" s="22">
        <v>35.475000000000001</v>
      </c>
      <c r="N3" s="9" t="s">
        <v>26</v>
      </c>
      <c r="O3" s="22">
        <v>5.4675000000000002</v>
      </c>
      <c r="P3" s="22">
        <v>15.4472</v>
      </c>
      <c r="Q3" s="13"/>
      <c r="R3" s="9"/>
      <c r="S3" s="9" t="s">
        <v>26</v>
      </c>
      <c r="T3" s="9"/>
      <c r="U3" s="22">
        <v>1.2750300000000001</v>
      </c>
      <c r="V3" s="13"/>
      <c r="W3" s="9"/>
      <c r="X3" s="9" t="s">
        <v>26</v>
      </c>
      <c r="Y3" s="9"/>
      <c r="Z3" s="22">
        <v>0.86351599999999995</v>
      </c>
      <c r="AA3" s="13"/>
      <c r="AB3" s="22">
        <v>2.2631999999999999</v>
      </c>
      <c r="AC3" s="9" t="s">
        <v>26</v>
      </c>
      <c r="AD3" s="22">
        <v>0.44851000000000002</v>
      </c>
      <c r="AE3" s="22">
        <v>2.0980099999999999</v>
      </c>
      <c r="AF3" s="13"/>
      <c r="AG3" s="22">
        <v>3.0863999999999998</v>
      </c>
      <c r="AH3" s="9" t="s">
        <v>26</v>
      </c>
      <c r="AI3" s="22">
        <v>0.63653000000000004</v>
      </c>
      <c r="AJ3" s="22">
        <v>0.77461899999999995</v>
      </c>
      <c r="AK3" s="13"/>
      <c r="AL3" s="22">
        <v>3.3037000000000001</v>
      </c>
      <c r="AM3" s="9" t="s">
        <v>26</v>
      </c>
      <c r="AN3" s="22">
        <v>0.53181999999999996</v>
      </c>
      <c r="AO3" s="22">
        <v>5.0949400000000002</v>
      </c>
      <c r="AP3" s="13"/>
      <c r="AQ3" s="22">
        <v>6.5309999999999997</v>
      </c>
      <c r="AR3" s="9" t="s">
        <v>26</v>
      </c>
      <c r="AS3" s="22">
        <v>1.0805</v>
      </c>
      <c r="AT3" s="22">
        <v>1.8037000000000001</v>
      </c>
      <c r="AU3" s="13"/>
      <c r="AV3" s="9"/>
      <c r="AW3" s="9" t="s">
        <v>26</v>
      </c>
      <c r="AX3" s="9"/>
      <c r="AY3" s="9"/>
      <c r="AZ3" s="13"/>
      <c r="BA3" s="22">
        <v>6.8452999999999999</v>
      </c>
      <c r="BB3" s="9" t="s">
        <v>26</v>
      </c>
      <c r="BC3" s="22">
        <v>0.43573000000000001</v>
      </c>
      <c r="BD3" s="22">
        <v>1.6086</v>
      </c>
      <c r="BE3" s="13"/>
      <c r="BF3" s="22">
        <v>5.3738999999999999</v>
      </c>
      <c r="BG3" s="9" t="s">
        <v>26</v>
      </c>
      <c r="BH3" s="22">
        <v>1.7017</v>
      </c>
      <c r="BI3" s="22">
        <v>4.3789100000000003</v>
      </c>
      <c r="BJ3" s="13"/>
      <c r="BK3" s="22">
        <v>3.3616000000000001</v>
      </c>
      <c r="BL3" s="9" t="s">
        <v>26</v>
      </c>
      <c r="BM3" s="22">
        <v>3.0981999999999998</v>
      </c>
      <c r="BN3" s="22">
        <v>10.8507</v>
      </c>
      <c r="BO3" s="13"/>
      <c r="BP3" s="22">
        <v>0.91923999999999995</v>
      </c>
      <c r="BQ3" s="9" t="s">
        <v>26</v>
      </c>
      <c r="BR3" s="22">
        <v>0.14271</v>
      </c>
      <c r="BS3" s="22">
        <v>0.717032</v>
      </c>
      <c r="BT3" s="13"/>
      <c r="BU3" s="22">
        <v>16.311</v>
      </c>
      <c r="BV3" s="9" t="s">
        <v>26</v>
      </c>
      <c r="BW3" s="22">
        <v>5.2523999999999997</v>
      </c>
      <c r="BX3" s="23">
        <v>10.446199999999999</v>
      </c>
    </row>
    <row r="4" spans="1:76" ht="15" thickBot="1" x14ac:dyDescent="0.4">
      <c r="A4" s="13" t="s">
        <v>66</v>
      </c>
      <c r="B4" s="13" t="s">
        <v>58</v>
      </c>
      <c r="C4" s="13" t="s">
        <v>65</v>
      </c>
      <c r="D4" s="13">
        <v>6.8934999999999996E-2</v>
      </c>
      <c r="E4" s="21">
        <v>44833</v>
      </c>
      <c r="F4" s="13">
        <v>1.216238425925926</v>
      </c>
      <c r="G4" s="13"/>
      <c r="H4" s="22">
        <v>58.381999999999998</v>
      </c>
      <c r="I4" s="9" t="s">
        <v>26</v>
      </c>
      <c r="J4" s="22">
        <v>4.1327999999999996</v>
      </c>
      <c r="K4" s="22">
        <v>7.07653</v>
      </c>
      <c r="L4" s="13"/>
      <c r="M4" s="9"/>
      <c r="N4" s="9" t="s">
        <v>26</v>
      </c>
      <c r="O4" s="9"/>
      <c r="P4" s="22">
        <v>20.558</v>
      </c>
      <c r="Q4" s="13"/>
      <c r="R4" s="9"/>
      <c r="S4" s="9" t="s">
        <v>26</v>
      </c>
      <c r="T4" s="9"/>
      <c r="U4" s="22">
        <v>1.5554699999999999</v>
      </c>
      <c r="V4" s="13"/>
      <c r="W4" s="9"/>
      <c r="X4" s="9" t="s">
        <v>26</v>
      </c>
      <c r="Y4" s="9"/>
      <c r="Z4" s="22">
        <v>1.00556</v>
      </c>
      <c r="AA4" s="13"/>
      <c r="AB4" s="22">
        <v>4.4092000000000002</v>
      </c>
      <c r="AC4" s="9" t="s">
        <v>26</v>
      </c>
      <c r="AD4" s="22">
        <v>2.2244999999999999</v>
      </c>
      <c r="AE4" s="22">
        <v>2.1707700000000001</v>
      </c>
      <c r="AF4" s="13"/>
      <c r="AG4" s="22">
        <v>2.7458999999999998</v>
      </c>
      <c r="AH4" s="9" t="s">
        <v>26</v>
      </c>
      <c r="AI4" s="22">
        <v>0.58265</v>
      </c>
      <c r="AJ4" s="22">
        <v>0.93904200000000004</v>
      </c>
      <c r="AK4" s="13"/>
      <c r="AL4" s="9"/>
      <c r="AM4" s="9" t="s">
        <v>26</v>
      </c>
      <c r="AN4" s="9"/>
      <c r="AO4" s="22">
        <v>12.518700000000001</v>
      </c>
      <c r="AP4" s="13"/>
      <c r="AQ4" s="22">
        <v>5.4208999999999996</v>
      </c>
      <c r="AR4" s="9" t="s">
        <v>26</v>
      </c>
      <c r="AS4" s="22">
        <v>0.53047</v>
      </c>
      <c r="AT4" s="22">
        <v>2.05775</v>
      </c>
      <c r="AU4" s="13"/>
      <c r="AV4" s="9"/>
      <c r="AW4" s="9" t="s">
        <v>26</v>
      </c>
      <c r="AX4" s="9"/>
      <c r="AY4" s="9"/>
      <c r="AZ4" s="13"/>
      <c r="BA4" s="22">
        <v>6.2499000000000002</v>
      </c>
      <c r="BB4" s="9" t="s">
        <v>26</v>
      </c>
      <c r="BC4" s="22">
        <v>1.1820999999999999</v>
      </c>
      <c r="BD4" s="22">
        <v>1.92967</v>
      </c>
      <c r="BE4" s="13"/>
      <c r="BF4" s="22">
        <v>6.1429999999999998</v>
      </c>
      <c r="BG4" s="9" t="s">
        <v>26</v>
      </c>
      <c r="BH4" s="22">
        <v>1.6978</v>
      </c>
      <c r="BI4" s="22">
        <v>5.7318199999999999</v>
      </c>
      <c r="BJ4" s="13"/>
      <c r="BK4" s="22">
        <v>4.319</v>
      </c>
      <c r="BL4" s="9" t="s">
        <v>26</v>
      </c>
      <c r="BM4" s="22">
        <v>3.3791000000000002</v>
      </c>
      <c r="BN4" s="22">
        <v>12.255599999999999</v>
      </c>
      <c r="BO4" s="13"/>
      <c r="BP4" s="22">
        <v>1.1718</v>
      </c>
      <c r="BQ4" s="9" t="s">
        <v>26</v>
      </c>
      <c r="BR4" s="22">
        <v>0.17551</v>
      </c>
      <c r="BS4" s="22">
        <v>0.77154400000000001</v>
      </c>
      <c r="BT4" s="13"/>
      <c r="BU4" s="22">
        <v>16.167999999999999</v>
      </c>
      <c r="BV4" s="9" t="s">
        <v>26</v>
      </c>
      <c r="BW4" s="22">
        <v>2.3224</v>
      </c>
      <c r="BX4" s="23">
        <v>13.6685</v>
      </c>
    </row>
    <row r="5" spans="1:76" ht="15" thickBot="1" x14ac:dyDescent="0.4">
      <c r="A5" s="13" t="s">
        <v>67</v>
      </c>
      <c r="B5" s="13" t="s">
        <v>58</v>
      </c>
      <c r="C5" s="13" t="s">
        <v>65</v>
      </c>
      <c r="D5" s="13">
        <v>7.0226999999999998E-2</v>
      </c>
      <c r="E5" s="21">
        <v>44834</v>
      </c>
      <c r="F5" s="13">
        <v>3.7002314814814814</v>
      </c>
      <c r="G5" s="13"/>
      <c r="H5" s="22">
        <v>63.537999999999997</v>
      </c>
      <c r="I5" s="9" t="s">
        <v>26</v>
      </c>
      <c r="J5" s="22">
        <v>3.6680000000000001</v>
      </c>
      <c r="K5" s="22">
        <v>4.5576299999999996</v>
      </c>
      <c r="L5" s="13"/>
      <c r="M5" s="22">
        <v>24.802</v>
      </c>
      <c r="N5" s="9" t="s">
        <v>26</v>
      </c>
      <c r="O5" s="22">
        <v>2.363</v>
      </c>
      <c r="P5" s="22">
        <v>11.978199999999999</v>
      </c>
      <c r="Q5" s="13"/>
      <c r="R5" s="9"/>
      <c r="S5" s="9" t="s">
        <v>26</v>
      </c>
      <c r="T5" s="9"/>
      <c r="U5" s="22">
        <v>0.87377400000000005</v>
      </c>
      <c r="V5" s="13"/>
      <c r="W5" s="9"/>
      <c r="X5" s="9" t="s">
        <v>26</v>
      </c>
      <c r="Y5" s="9"/>
      <c r="Z5" s="22">
        <v>0.56573799999999996</v>
      </c>
      <c r="AA5" s="13"/>
      <c r="AB5" s="22">
        <v>3.5282</v>
      </c>
      <c r="AC5" s="9" t="s">
        <v>26</v>
      </c>
      <c r="AD5" s="22">
        <v>0.36015000000000003</v>
      </c>
      <c r="AE5" s="22">
        <v>1.5677700000000001</v>
      </c>
      <c r="AF5" s="13"/>
      <c r="AG5" s="22">
        <v>3.6301000000000001</v>
      </c>
      <c r="AH5" s="9" t="s">
        <v>26</v>
      </c>
      <c r="AI5" s="22">
        <v>0.16247</v>
      </c>
      <c r="AJ5" s="22">
        <v>0.54627899999999996</v>
      </c>
      <c r="AK5" s="13"/>
      <c r="AL5" s="9"/>
      <c r="AM5" s="9" t="s">
        <v>26</v>
      </c>
      <c r="AN5" s="9"/>
      <c r="AO5" s="22">
        <v>7.1006499999999999</v>
      </c>
      <c r="AP5" s="13"/>
      <c r="AQ5" s="22">
        <v>7.3734000000000002</v>
      </c>
      <c r="AR5" s="9" t="s">
        <v>26</v>
      </c>
      <c r="AS5" s="22">
        <v>0.35976999999999998</v>
      </c>
      <c r="AT5" s="22">
        <v>1.3263199999999999</v>
      </c>
      <c r="AU5" s="13"/>
      <c r="AV5" s="9"/>
      <c r="AW5" s="9" t="s">
        <v>26</v>
      </c>
      <c r="AX5" s="9"/>
      <c r="AY5" s="9"/>
      <c r="AZ5" s="13"/>
      <c r="BA5" s="22">
        <v>6.8661000000000003</v>
      </c>
      <c r="BB5" s="9" t="s">
        <v>26</v>
      </c>
      <c r="BC5" s="22">
        <v>0.33522999999999997</v>
      </c>
      <c r="BD5" s="22">
        <v>1.20374</v>
      </c>
      <c r="BE5" s="13"/>
      <c r="BF5" s="22">
        <v>6.5888</v>
      </c>
      <c r="BG5" s="9" t="s">
        <v>26</v>
      </c>
      <c r="BH5" s="22">
        <v>0.72338999999999998</v>
      </c>
      <c r="BI5" s="22">
        <v>3.28268</v>
      </c>
      <c r="BJ5" s="13"/>
      <c r="BK5" s="22">
        <v>8.5704999999999991</v>
      </c>
      <c r="BL5" s="9" t="s">
        <v>26</v>
      </c>
      <c r="BM5" s="22">
        <v>4.0267999999999997</v>
      </c>
      <c r="BN5" s="22">
        <v>10.1319</v>
      </c>
      <c r="BO5" s="13"/>
      <c r="BP5" s="22">
        <v>0.99961</v>
      </c>
      <c r="BQ5" s="9" t="s">
        <v>26</v>
      </c>
      <c r="BR5" s="22">
        <v>0.10747</v>
      </c>
      <c r="BS5" s="22">
        <v>0.505633</v>
      </c>
      <c r="BT5" s="13"/>
      <c r="BU5" s="22">
        <v>15.105</v>
      </c>
      <c r="BV5" s="9" t="s">
        <v>26</v>
      </c>
      <c r="BW5" s="22">
        <v>4.4234999999999998</v>
      </c>
      <c r="BX5" s="23">
        <v>6.7784199999999997</v>
      </c>
    </row>
    <row r="6" spans="1:76" ht="15" thickBot="1" x14ac:dyDescent="0.4">
      <c r="A6" s="13" t="s">
        <v>68</v>
      </c>
      <c r="B6" s="13" t="s">
        <v>58</v>
      </c>
      <c r="C6" s="13" t="s">
        <v>65</v>
      </c>
      <c r="D6" s="13">
        <v>6.9192000000000004E-2</v>
      </c>
      <c r="E6" s="21">
        <v>44838</v>
      </c>
      <c r="F6" s="13">
        <v>1.0898726851851852</v>
      </c>
      <c r="G6" s="13"/>
      <c r="H6" s="22">
        <v>49.697000000000003</v>
      </c>
      <c r="I6" s="9" t="s">
        <v>26</v>
      </c>
      <c r="J6" s="22">
        <v>3.7465000000000002</v>
      </c>
      <c r="K6" s="22">
        <v>7.5113500000000002</v>
      </c>
      <c r="L6" s="13"/>
      <c r="M6" s="22">
        <v>39.767000000000003</v>
      </c>
      <c r="N6" s="9" t="s">
        <v>26</v>
      </c>
      <c r="O6" s="22">
        <v>13.430999999999999</v>
      </c>
      <c r="P6" s="22">
        <v>21.670400000000001</v>
      </c>
      <c r="Q6" s="13"/>
      <c r="R6" s="9"/>
      <c r="S6" s="9" t="s">
        <v>26</v>
      </c>
      <c r="T6" s="9"/>
      <c r="U6" s="22">
        <v>1.6254999999999999</v>
      </c>
      <c r="V6" s="13"/>
      <c r="W6" s="9"/>
      <c r="X6" s="9" t="s">
        <v>26</v>
      </c>
      <c r="Y6" s="9"/>
      <c r="Z6" s="22">
        <v>1.0935600000000001</v>
      </c>
      <c r="AA6" s="13"/>
      <c r="AB6" s="22">
        <v>3.6783000000000001</v>
      </c>
      <c r="AC6" s="9" t="s">
        <v>26</v>
      </c>
      <c r="AD6" s="22">
        <v>3.5691999999999999</v>
      </c>
      <c r="AE6" s="22">
        <v>2.6198000000000001</v>
      </c>
      <c r="AF6" s="13"/>
      <c r="AG6" s="22">
        <v>3.2183999999999999</v>
      </c>
      <c r="AH6" s="9" t="s">
        <v>26</v>
      </c>
      <c r="AI6" s="22">
        <v>0.67647000000000002</v>
      </c>
      <c r="AJ6" s="22">
        <v>1.0026200000000001</v>
      </c>
      <c r="AK6" s="13"/>
      <c r="AL6" s="9"/>
      <c r="AM6" s="9" t="s">
        <v>26</v>
      </c>
      <c r="AN6" s="9"/>
      <c r="AO6" s="22">
        <v>13.1288</v>
      </c>
      <c r="AP6" s="13"/>
      <c r="AQ6" s="22">
        <v>6.2276999999999996</v>
      </c>
      <c r="AR6" s="9" t="s">
        <v>26</v>
      </c>
      <c r="AS6" s="22">
        <v>0.56567999999999996</v>
      </c>
      <c r="AT6" s="22">
        <v>2.18798</v>
      </c>
      <c r="AU6" s="13"/>
      <c r="AV6" s="9"/>
      <c r="AW6" s="9" t="s">
        <v>26</v>
      </c>
      <c r="AX6" s="9"/>
      <c r="AY6" s="9"/>
      <c r="AZ6" s="13"/>
      <c r="BA6" s="22">
        <v>5.8380999999999998</v>
      </c>
      <c r="BB6" s="9" t="s">
        <v>26</v>
      </c>
      <c r="BC6" s="22">
        <v>1.2186999999999999</v>
      </c>
      <c r="BD6" s="22">
        <v>2.0740599999999998</v>
      </c>
      <c r="BE6" s="13"/>
      <c r="BF6" s="22">
        <v>6.4657</v>
      </c>
      <c r="BG6" s="9" t="s">
        <v>26</v>
      </c>
      <c r="BH6" s="22">
        <v>1.8234999999999999</v>
      </c>
      <c r="BI6" s="22">
        <v>6.2351900000000002</v>
      </c>
      <c r="BJ6" s="13"/>
      <c r="BK6" s="22">
        <v>4.7930999999999999</v>
      </c>
      <c r="BL6" s="9" t="s">
        <v>26</v>
      </c>
      <c r="BM6" s="22">
        <v>4.2111000000000001</v>
      </c>
      <c r="BN6" s="22">
        <v>12.6594</v>
      </c>
      <c r="BO6" s="13"/>
      <c r="BP6" s="22">
        <v>1.0755999999999999</v>
      </c>
      <c r="BQ6" s="9" t="s">
        <v>26</v>
      </c>
      <c r="BR6" s="22">
        <v>0.67166999999999999</v>
      </c>
      <c r="BS6" s="22">
        <v>0.80606</v>
      </c>
      <c r="BT6" s="13"/>
      <c r="BU6" s="22">
        <v>9.2942</v>
      </c>
      <c r="BV6" s="9" t="s">
        <v>26</v>
      </c>
      <c r="BW6" s="22">
        <v>7.3643999999999998</v>
      </c>
      <c r="BX6" s="23">
        <v>17.393799999999999</v>
      </c>
    </row>
    <row r="7" spans="1:76" ht="15" thickBot="1" x14ac:dyDescent="0.4">
      <c r="A7" s="13" t="s">
        <v>69</v>
      </c>
      <c r="B7" s="13" t="s">
        <v>58</v>
      </c>
      <c r="C7" s="13" t="s">
        <v>65</v>
      </c>
      <c r="D7" s="13">
        <v>6.3735E-2</v>
      </c>
      <c r="E7" s="21">
        <v>44839</v>
      </c>
      <c r="F7" s="13">
        <v>0.98371527777777779</v>
      </c>
      <c r="G7" s="13"/>
      <c r="H7" s="22">
        <v>77.028000000000006</v>
      </c>
      <c r="I7" s="9" t="s">
        <v>26</v>
      </c>
      <c r="J7" s="22">
        <v>5.3418000000000001</v>
      </c>
      <c r="K7" s="22">
        <v>8.3684200000000004</v>
      </c>
      <c r="L7" s="13"/>
      <c r="M7" s="22">
        <v>34.469000000000001</v>
      </c>
      <c r="N7" s="9" t="s">
        <v>26</v>
      </c>
      <c r="O7" s="22">
        <v>4.5662000000000003</v>
      </c>
      <c r="P7" s="22">
        <v>21.954000000000001</v>
      </c>
      <c r="Q7" s="13"/>
      <c r="R7" s="9"/>
      <c r="S7" s="9" t="s">
        <v>26</v>
      </c>
      <c r="T7" s="9"/>
      <c r="U7" s="22">
        <v>1.8079400000000001</v>
      </c>
      <c r="V7" s="13"/>
      <c r="W7" s="9"/>
      <c r="X7" s="9" t="s">
        <v>26</v>
      </c>
      <c r="Y7" s="9"/>
      <c r="Z7" s="22">
        <v>1.15882</v>
      </c>
      <c r="AA7" s="13"/>
      <c r="AB7" s="22">
        <v>1.4922</v>
      </c>
      <c r="AC7" s="9" t="s">
        <v>26</v>
      </c>
      <c r="AD7" s="22">
        <v>0.71882999999999997</v>
      </c>
      <c r="AE7" s="22">
        <v>2.6631499999999999</v>
      </c>
      <c r="AF7" s="13"/>
      <c r="AG7" s="22">
        <v>3.4538000000000002</v>
      </c>
      <c r="AH7" s="9" t="s">
        <v>26</v>
      </c>
      <c r="AI7" s="22">
        <v>0.75348000000000004</v>
      </c>
      <c r="AJ7" s="22">
        <v>1.10103</v>
      </c>
      <c r="AK7" s="13"/>
      <c r="AL7" s="9"/>
      <c r="AM7" s="9" t="s">
        <v>26</v>
      </c>
      <c r="AN7" s="9"/>
      <c r="AO7" s="22">
        <v>14.778499999999999</v>
      </c>
      <c r="AP7" s="13"/>
      <c r="AQ7" s="22">
        <v>6.92</v>
      </c>
      <c r="AR7" s="9" t="s">
        <v>26</v>
      </c>
      <c r="AS7" s="22">
        <v>0.62929999999999997</v>
      </c>
      <c r="AT7" s="22">
        <v>2.4043899999999998</v>
      </c>
      <c r="AU7" s="13"/>
      <c r="AV7" s="9"/>
      <c r="AW7" s="9" t="s">
        <v>26</v>
      </c>
      <c r="AX7" s="9"/>
      <c r="AY7" s="9"/>
      <c r="AZ7" s="13"/>
      <c r="BA7" s="22">
        <v>6.5663</v>
      </c>
      <c r="BB7" s="9" t="s">
        <v>26</v>
      </c>
      <c r="BC7" s="22">
        <v>1.3581000000000001</v>
      </c>
      <c r="BD7" s="22">
        <v>2.2656000000000001</v>
      </c>
      <c r="BE7" s="13"/>
      <c r="BF7" s="22">
        <v>9.2634000000000007</v>
      </c>
      <c r="BG7" s="9" t="s">
        <v>26</v>
      </c>
      <c r="BH7" s="22">
        <v>2.2433000000000001</v>
      </c>
      <c r="BI7" s="22">
        <v>6.7920999999999996</v>
      </c>
      <c r="BJ7" s="13"/>
      <c r="BK7" s="22">
        <v>0.94055999999999995</v>
      </c>
      <c r="BL7" s="9" t="s">
        <v>26</v>
      </c>
      <c r="BM7" s="22">
        <v>3.8597999999999999</v>
      </c>
      <c r="BN7" s="22">
        <v>13.3888</v>
      </c>
      <c r="BO7" s="13"/>
      <c r="BP7" s="22">
        <v>1.0589999999999999</v>
      </c>
      <c r="BQ7" s="9" t="s">
        <v>26</v>
      </c>
      <c r="BR7" s="22">
        <v>0.19556000000000001</v>
      </c>
      <c r="BS7" s="22">
        <v>0.86727200000000004</v>
      </c>
      <c r="BT7" s="13"/>
      <c r="BU7" s="22">
        <v>14.101000000000001</v>
      </c>
      <c r="BV7" s="9" t="s">
        <v>26</v>
      </c>
      <c r="BW7" s="22">
        <v>2.6472000000000002</v>
      </c>
      <c r="BX7" s="23">
        <v>11.441800000000001</v>
      </c>
    </row>
    <row r="8" spans="1:76" ht="15" thickBot="1" x14ac:dyDescent="0.4">
      <c r="A8" s="13" t="s">
        <v>70</v>
      </c>
      <c r="B8" s="13" t="s">
        <v>58</v>
      </c>
      <c r="C8" s="13" t="s">
        <v>65</v>
      </c>
      <c r="D8" s="13">
        <v>6.9264000000000006E-2</v>
      </c>
      <c r="E8" s="21">
        <v>44840</v>
      </c>
      <c r="F8" s="13">
        <v>0.99351851851851858</v>
      </c>
      <c r="G8" s="13"/>
      <c r="H8" s="22">
        <v>41.078000000000003</v>
      </c>
      <c r="I8" s="9" t="s">
        <v>26</v>
      </c>
      <c r="J8" s="22">
        <v>3.4342999999999999</v>
      </c>
      <c r="K8" s="22">
        <v>7.0330000000000004</v>
      </c>
      <c r="L8" s="13"/>
      <c r="M8" s="22">
        <v>46.271999999999998</v>
      </c>
      <c r="N8" s="9" t="s">
        <v>26</v>
      </c>
      <c r="O8" s="22">
        <v>12.933999999999999</v>
      </c>
      <c r="P8" s="22">
        <v>20.142700000000001</v>
      </c>
      <c r="Q8" s="13"/>
      <c r="R8" s="9"/>
      <c r="S8" s="9" t="s">
        <v>26</v>
      </c>
      <c r="T8" s="9"/>
      <c r="U8" s="22">
        <v>1.76806</v>
      </c>
      <c r="V8" s="13"/>
      <c r="W8" s="9"/>
      <c r="X8" s="9" t="s">
        <v>26</v>
      </c>
      <c r="Y8" s="9"/>
      <c r="Z8" s="22">
        <v>1.07447</v>
      </c>
      <c r="AA8" s="13"/>
      <c r="AB8" s="22">
        <v>1.413</v>
      </c>
      <c r="AC8" s="9" t="s">
        <v>26</v>
      </c>
      <c r="AD8" s="22">
        <v>2.1122999999999998</v>
      </c>
      <c r="AE8" s="22">
        <v>2.3406400000000001</v>
      </c>
      <c r="AF8" s="13"/>
      <c r="AG8" s="22">
        <v>2.8656999999999999</v>
      </c>
      <c r="AH8" s="9" t="s">
        <v>26</v>
      </c>
      <c r="AI8" s="22">
        <v>0.66391</v>
      </c>
      <c r="AJ8" s="22">
        <v>1.0464500000000001</v>
      </c>
      <c r="AK8" s="13"/>
      <c r="AL8" s="9"/>
      <c r="AM8" s="9" t="s">
        <v>26</v>
      </c>
      <c r="AN8" s="9"/>
      <c r="AO8" s="22">
        <v>13.6959</v>
      </c>
      <c r="AP8" s="13"/>
      <c r="AQ8" s="22">
        <v>6.8879000000000001</v>
      </c>
      <c r="AR8" s="9" t="s">
        <v>26</v>
      </c>
      <c r="AS8" s="22">
        <v>1.6279999999999999</v>
      </c>
      <c r="AT8" s="22">
        <v>2.2884500000000001</v>
      </c>
      <c r="AU8" s="13"/>
      <c r="AV8" s="9"/>
      <c r="AW8" s="9" t="s">
        <v>26</v>
      </c>
      <c r="AX8" s="9"/>
      <c r="AY8" s="9"/>
      <c r="AZ8" s="13"/>
      <c r="BA8" s="22">
        <v>7.4123999999999999</v>
      </c>
      <c r="BB8" s="9" t="s">
        <v>26</v>
      </c>
      <c r="BC8" s="22">
        <v>1.367</v>
      </c>
      <c r="BD8" s="22">
        <v>2.01363</v>
      </c>
      <c r="BE8" s="13"/>
      <c r="BF8" s="22">
        <v>7.8651</v>
      </c>
      <c r="BG8" s="9" t="s">
        <v>26</v>
      </c>
      <c r="BH8" s="22">
        <v>2.1181000000000001</v>
      </c>
      <c r="BI8" s="22">
        <v>6.2980499999999999</v>
      </c>
      <c r="BJ8" s="13"/>
      <c r="BK8" s="22">
        <v>2.1162000000000001</v>
      </c>
      <c r="BL8" s="9" t="s">
        <v>26</v>
      </c>
      <c r="BM8" s="22">
        <v>3.0596999999999999</v>
      </c>
      <c r="BN8" s="22">
        <v>11.7338</v>
      </c>
      <c r="BO8" s="13"/>
      <c r="BP8" s="22">
        <v>0.89932000000000001</v>
      </c>
      <c r="BQ8" s="9" t="s">
        <v>26</v>
      </c>
      <c r="BR8" s="22">
        <v>0.17416000000000001</v>
      </c>
      <c r="BS8" s="22">
        <v>0.79944499999999996</v>
      </c>
      <c r="BT8" s="13"/>
      <c r="BU8" s="22">
        <v>21.77</v>
      </c>
      <c r="BV8" s="9" t="s">
        <v>26</v>
      </c>
      <c r="BW8" s="22">
        <v>2.6581000000000001</v>
      </c>
      <c r="BX8" s="23">
        <v>12.708399999999999</v>
      </c>
    </row>
    <row r="9" spans="1:76" ht="15" thickBot="1" x14ac:dyDescent="0.4">
      <c r="A9" s="13" t="s">
        <v>71</v>
      </c>
      <c r="B9" s="13" t="s">
        <v>58</v>
      </c>
      <c r="C9" s="13" t="s">
        <v>65</v>
      </c>
      <c r="D9" s="13">
        <v>7.2252999999999998E-2</v>
      </c>
      <c r="E9" s="21">
        <v>44841</v>
      </c>
      <c r="F9" s="13">
        <v>2.7210416666666668</v>
      </c>
      <c r="G9" s="13"/>
      <c r="H9" s="22">
        <v>46.152999999999999</v>
      </c>
      <c r="I9" s="9" t="s">
        <v>26</v>
      </c>
      <c r="J9" s="22">
        <v>5.3693999999999997</v>
      </c>
      <c r="K9" s="22">
        <v>5.0071000000000003</v>
      </c>
      <c r="L9" s="13"/>
      <c r="M9" s="22">
        <v>32.548000000000002</v>
      </c>
      <c r="N9" s="9" t="s">
        <v>26</v>
      </c>
      <c r="O9" s="22">
        <v>6.7953999999999999</v>
      </c>
      <c r="P9" s="22">
        <v>12.4628</v>
      </c>
      <c r="Q9" s="13"/>
      <c r="R9" s="9"/>
      <c r="S9" s="9" t="s">
        <v>26</v>
      </c>
      <c r="T9" s="9"/>
      <c r="U9" s="22">
        <v>0.98420300000000005</v>
      </c>
      <c r="V9" s="13"/>
      <c r="W9" s="9"/>
      <c r="X9" s="9" t="s">
        <v>26</v>
      </c>
      <c r="Y9" s="9"/>
      <c r="Z9" s="22">
        <v>0.64530200000000004</v>
      </c>
      <c r="AA9" s="13"/>
      <c r="AB9" s="22">
        <v>2.9359000000000002</v>
      </c>
      <c r="AC9" s="9" t="s">
        <v>26</v>
      </c>
      <c r="AD9" s="22">
        <v>0.37563000000000002</v>
      </c>
      <c r="AE9" s="22">
        <v>1.60236</v>
      </c>
      <c r="AF9" s="13"/>
      <c r="AG9" s="22">
        <v>2.6311</v>
      </c>
      <c r="AH9" s="9" t="s">
        <v>26</v>
      </c>
      <c r="AI9" s="22">
        <v>0.38519999999999999</v>
      </c>
      <c r="AJ9" s="22">
        <v>0.63561800000000002</v>
      </c>
      <c r="AK9" s="13"/>
      <c r="AL9" s="9"/>
      <c r="AM9" s="9" t="s">
        <v>26</v>
      </c>
      <c r="AN9" s="9"/>
      <c r="AO9" s="22">
        <v>8.1966300000000007</v>
      </c>
      <c r="AP9" s="13"/>
      <c r="AQ9" s="22">
        <v>7.7648999999999999</v>
      </c>
      <c r="AR9" s="9" t="s">
        <v>26</v>
      </c>
      <c r="AS9" s="22">
        <v>0.39683000000000002</v>
      </c>
      <c r="AT9" s="22">
        <v>1.4636499999999999</v>
      </c>
      <c r="AU9" s="13"/>
      <c r="AV9" s="9"/>
      <c r="AW9" s="9" t="s">
        <v>26</v>
      </c>
      <c r="AX9" s="9"/>
      <c r="AY9" s="9"/>
      <c r="AZ9" s="13"/>
      <c r="BA9" s="22">
        <v>7.4222000000000001</v>
      </c>
      <c r="BB9" s="9" t="s">
        <v>26</v>
      </c>
      <c r="BC9" s="22">
        <v>0.36576999999999998</v>
      </c>
      <c r="BD9" s="22">
        <v>1.2325900000000001</v>
      </c>
      <c r="BE9" s="13"/>
      <c r="BF9" s="22">
        <v>7.2439999999999998</v>
      </c>
      <c r="BG9" s="9" t="s">
        <v>26</v>
      </c>
      <c r="BH9" s="22">
        <v>1.2561</v>
      </c>
      <c r="BI9" s="22">
        <v>3.6853099999999999</v>
      </c>
      <c r="BJ9" s="13"/>
      <c r="BK9" s="22">
        <v>1.7743</v>
      </c>
      <c r="BL9" s="9" t="s">
        <v>26</v>
      </c>
      <c r="BM9" s="22">
        <v>4.218</v>
      </c>
      <c r="BN9" s="22">
        <v>10.3706</v>
      </c>
      <c r="BO9" s="13"/>
      <c r="BP9" s="22">
        <v>1.0162</v>
      </c>
      <c r="BQ9" s="9" t="s">
        <v>26</v>
      </c>
      <c r="BR9" s="22">
        <v>0.38147999999999999</v>
      </c>
      <c r="BS9" s="22">
        <v>0.52385700000000002</v>
      </c>
      <c r="BT9" s="13"/>
      <c r="BU9" s="22">
        <v>18.998999999999999</v>
      </c>
      <c r="BV9" s="9" t="s">
        <v>26</v>
      </c>
      <c r="BW9" s="22">
        <v>5.1551</v>
      </c>
      <c r="BX9" s="23">
        <v>8.6456099999999996</v>
      </c>
    </row>
    <row r="10" spans="1:76" ht="15" thickBot="1" x14ac:dyDescent="0.4">
      <c r="A10" s="13" t="s">
        <v>72</v>
      </c>
      <c r="B10" s="13" t="s">
        <v>58</v>
      </c>
      <c r="C10" s="13" t="s">
        <v>65</v>
      </c>
      <c r="D10" s="13">
        <v>6.8331000000000003E-2</v>
      </c>
      <c r="E10" s="21">
        <v>44844</v>
      </c>
      <c r="F10" s="13">
        <v>1.0091087962962961</v>
      </c>
      <c r="G10" s="13"/>
      <c r="H10" s="22">
        <v>48.984000000000002</v>
      </c>
      <c r="I10" s="9" t="s">
        <v>26</v>
      </c>
      <c r="J10" s="22">
        <v>3.7761999999999998</v>
      </c>
      <c r="K10" s="22">
        <v>7.2905600000000002</v>
      </c>
      <c r="L10" s="13"/>
      <c r="M10" s="22">
        <v>29.856000000000002</v>
      </c>
      <c r="N10" s="9" t="s">
        <v>26</v>
      </c>
      <c r="O10" s="22">
        <v>4.0644999999999998</v>
      </c>
      <c r="P10" s="22">
        <v>20.686499999999999</v>
      </c>
      <c r="Q10" s="13"/>
      <c r="R10" s="9"/>
      <c r="S10" s="9" t="s">
        <v>26</v>
      </c>
      <c r="T10" s="9"/>
      <c r="U10" s="22">
        <v>1.7053</v>
      </c>
      <c r="V10" s="13"/>
      <c r="W10" s="9"/>
      <c r="X10" s="9" t="s">
        <v>26</v>
      </c>
      <c r="Y10" s="9"/>
      <c r="Z10" s="22">
        <v>1.1295299999999999</v>
      </c>
      <c r="AA10" s="13"/>
      <c r="AB10" s="22">
        <v>3.4721000000000002</v>
      </c>
      <c r="AC10" s="9" t="s">
        <v>26</v>
      </c>
      <c r="AD10" s="22">
        <v>0.60711999999999999</v>
      </c>
      <c r="AE10" s="22">
        <v>3.5539000000000001</v>
      </c>
      <c r="AF10" s="13"/>
      <c r="AG10" s="22">
        <v>2.8730000000000002</v>
      </c>
      <c r="AH10" s="9" t="s">
        <v>26</v>
      </c>
      <c r="AI10" s="22">
        <v>0.65015000000000001</v>
      </c>
      <c r="AJ10" s="22">
        <v>0.99776500000000001</v>
      </c>
      <c r="AK10" s="13"/>
      <c r="AL10" s="9"/>
      <c r="AM10" s="9" t="s">
        <v>26</v>
      </c>
      <c r="AN10" s="9"/>
      <c r="AO10" s="22">
        <v>13.916</v>
      </c>
      <c r="AP10" s="13"/>
      <c r="AQ10" s="22">
        <v>7.3922999999999996</v>
      </c>
      <c r="AR10" s="9" t="s">
        <v>26</v>
      </c>
      <c r="AS10" s="22">
        <v>0.61387999999999998</v>
      </c>
      <c r="AT10" s="22">
        <v>2.2206299999999999</v>
      </c>
      <c r="AU10" s="13"/>
      <c r="AV10" s="9"/>
      <c r="AW10" s="9" t="s">
        <v>26</v>
      </c>
      <c r="AX10" s="9"/>
      <c r="AY10" s="9"/>
      <c r="AZ10" s="13"/>
      <c r="BA10" s="22">
        <v>8.3338000000000001</v>
      </c>
      <c r="BB10" s="9" t="s">
        <v>26</v>
      </c>
      <c r="BC10" s="22">
        <v>1.4004000000000001</v>
      </c>
      <c r="BD10" s="22">
        <v>2.0590099999999998</v>
      </c>
      <c r="BE10" s="13"/>
      <c r="BF10" s="22">
        <v>9.4307999999999996</v>
      </c>
      <c r="BG10" s="9" t="s">
        <v>26</v>
      </c>
      <c r="BH10" s="22">
        <v>2.1789999999999998</v>
      </c>
      <c r="BI10" s="22">
        <v>6.1938599999999999</v>
      </c>
      <c r="BJ10" s="13"/>
      <c r="BK10" s="22">
        <v>2.0306000000000002</v>
      </c>
      <c r="BL10" s="9" t="s">
        <v>26</v>
      </c>
      <c r="BM10" s="22">
        <v>3.2829000000000002</v>
      </c>
      <c r="BN10" s="22">
        <v>12.178699999999999</v>
      </c>
      <c r="BO10" s="13"/>
      <c r="BP10" s="22">
        <v>0.80078000000000005</v>
      </c>
      <c r="BQ10" s="9" t="s">
        <v>26</v>
      </c>
      <c r="BR10" s="22">
        <v>0.17943000000000001</v>
      </c>
      <c r="BS10" s="22">
        <v>0.77526300000000004</v>
      </c>
      <c r="BT10" s="13"/>
      <c r="BU10" s="22">
        <v>13.574999999999999</v>
      </c>
      <c r="BV10" s="9" t="s">
        <v>26</v>
      </c>
      <c r="BW10" s="22">
        <v>2.5379999999999998</v>
      </c>
      <c r="BX10" s="23">
        <v>19.9391</v>
      </c>
    </row>
    <row r="11" spans="1:76" ht="15" thickBot="1" x14ac:dyDescent="0.4">
      <c r="A11" s="13" t="s">
        <v>73</v>
      </c>
      <c r="B11" s="13" t="s">
        <v>58</v>
      </c>
      <c r="C11" s="13" t="s">
        <v>65</v>
      </c>
      <c r="D11" s="13">
        <v>6.7934999999999995E-2</v>
      </c>
      <c r="E11" s="21">
        <v>44846</v>
      </c>
      <c r="F11" s="13">
        <v>1.0015162037037038</v>
      </c>
      <c r="G11" s="11"/>
      <c r="H11" s="18">
        <v>51.234999999999999</v>
      </c>
      <c r="I11" s="10" t="s">
        <v>26</v>
      </c>
      <c r="J11" s="18">
        <v>3.964</v>
      </c>
      <c r="K11" s="18">
        <v>7.8381699999999999</v>
      </c>
      <c r="L11" s="11"/>
      <c r="M11" s="18">
        <v>31.779</v>
      </c>
      <c r="N11" s="10" t="s">
        <v>26</v>
      </c>
      <c r="O11" s="18">
        <v>4.1230000000000002</v>
      </c>
      <c r="P11" s="18">
        <v>17.978300000000001</v>
      </c>
      <c r="Q11" s="11"/>
      <c r="R11" s="10"/>
      <c r="S11" s="10" t="s">
        <v>26</v>
      </c>
      <c r="T11" s="10"/>
      <c r="U11" s="18">
        <v>1.74573</v>
      </c>
      <c r="V11" s="11"/>
      <c r="W11" s="10"/>
      <c r="X11" s="10" t="s">
        <v>26</v>
      </c>
      <c r="Y11" s="10"/>
      <c r="Z11" s="18">
        <v>1.1591499999999999</v>
      </c>
      <c r="AA11" s="11"/>
      <c r="AB11" s="18">
        <v>2.2387999999999999</v>
      </c>
      <c r="AC11" s="10" t="s">
        <v>26</v>
      </c>
      <c r="AD11" s="18">
        <v>0.24204000000000001</v>
      </c>
      <c r="AE11" s="18">
        <v>2.4523600000000001</v>
      </c>
      <c r="AF11" s="11"/>
      <c r="AG11" s="18">
        <v>2.9121999999999999</v>
      </c>
      <c r="AH11" s="10" t="s">
        <v>26</v>
      </c>
      <c r="AI11" s="18">
        <v>0.73746</v>
      </c>
      <c r="AJ11" s="18">
        <v>0.99209700000000001</v>
      </c>
      <c r="AK11" s="11"/>
      <c r="AL11" s="10"/>
      <c r="AM11" s="10" t="s">
        <v>26</v>
      </c>
      <c r="AN11" s="10"/>
      <c r="AO11" s="18">
        <v>14.410299999999999</v>
      </c>
      <c r="AP11" s="11"/>
      <c r="AQ11" s="18">
        <v>7.4099000000000004</v>
      </c>
      <c r="AR11" s="10" t="s">
        <v>26</v>
      </c>
      <c r="AS11" s="18">
        <v>1.716</v>
      </c>
      <c r="AT11" s="18">
        <v>2.5105200000000001</v>
      </c>
      <c r="AU11" s="11"/>
      <c r="AV11" s="10"/>
      <c r="AW11" s="10" t="s">
        <v>26</v>
      </c>
      <c r="AX11" s="10"/>
      <c r="AY11" s="10"/>
      <c r="AZ11" s="11"/>
      <c r="BA11" s="18">
        <v>5.1569000000000003</v>
      </c>
      <c r="BB11" s="10" t="s">
        <v>26</v>
      </c>
      <c r="BC11" s="18">
        <v>0.52442</v>
      </c>
      <c r="BD11" s="18">
        <v>1.9502699999999999</v>
      </c>
      <c r="BE11" s="11"/>
      <c r="BF11" s="18">
        <v>7.8996000000000004</v>
      </c>
      <c r="BG11" s="10" t="s">
        <v>26</v>
      </c>
      <c r="BH11" s="18">
        <v>2.1707000000000001</v>
      </c>
      <c r="BI11" s="18">
        <v>6.5380200000000004</v>
      </c>
      <c r="BJ11" s="11"/>
      <c r="BK11" s="18">
        <v>17.553000000000001</v>
      </c>
      <c r="BL11" s="10" t="s">
        <v>26</v>
      </c>
      <c r="BM11" s="18">
        <v>8.1378000000000004</v>
      </c>
      <c r="BN11" s="18">
        <v>13.9833</v>
      </c>
      <c r="BO11" s="11"/>
      <c r="BP11" s="18">
        <v>0.93718000000000001</v>
      </c>
      <c r="BQ11" s="10" t="s">
        <v>26</v>
      </c>
      <c r="BR11" s="18">
        <v>0.182</v>
      </c>
      <c r="BS11" s="18">
        <v>0.77285899999999996</v>
      </c>
      <c r="BT11" s="11"/>
      <c r="BU11" s="10"/>
      <c r="BV11" s="10" t="s">
        <v>26</v>
      </c>
      <c r="BW11" s="10"/>
      <c r="BX11" s="19">
        <v>15.844099999999999</v>
      </c>
    </row>
    <row r="12" spans="1:76" ht="15" thickBot="1" x14ac:dyDescent="0.4">
      <c r="A12" s="10" t="s">
        <v>74</v>
      </c>
      <c r="B12" s="11" t="s">
        <v>58</v>
      </c>
      <c r="C12" s="11" t="s">
        <v>65</v>
      </c>
      <c r="D12" s="11">
        <v>7.3278999999999997E-2</v>
      </c>
      <c r="E12" s="20">
        <v>44845</v>
      </c>
      <c r="F12" s="11">
        <v>1.1418981481481481</v>
      </c>
      <c r="G12" s="14"/>
      <c r="H12" s="16">
        <v>42.406999999999996</v>
      </c>
      <c r="I12" s="15" t="s">
        <v>26</v>
      </c>
      <c r="J12" s="16">
        <v>3.2869999999999999</v>
      </c>
      <c r="K12" s="16">
        <v>7.0522099999999996</v>
      </c>
      <c r="L12" s="14"/>
      <c r="M12" s="16">
        <v>29.344000000000001</v>
      </c>
      <c r="N12" s="15" t="s">
        <v>26</v>
      </c>
      <c r="O12" s="16">
        <v>10.305</v>
      </c>
      <c r="P12" s="16">
        <v>20.848500000000001</v>
      </c>
      <c r="Q12" s="14"/>
      <c r="R12" s="15"/>
      <c r="S12" s="15" t="s">
        <v>26</v>
      </c>
      <c r="T12" s="15"/>
      <c r="U12" s="16">
        <v>1.5366899999999999</v>
      </c>
      <c r="V12" s="14"/>
      <c r="W12" s="15"/>
      <c r="X12" s="15" t="s">
        <v>26</v>
      </c>
      <c r="Y12" s="15"/>
      <c r="Z12" s="16">
        <v>0.96804999999999997</v>
      </c>
      <c r="AA12" s="14"/>
      <c r="AB12" s="16">
        <v>3.8879999999999999</v>
      </c>
      <c r="AC12" s="15" t="s">
        <v>26</v>
      </c>
      <c r="AD12" s="16">
        <v>2.3199000000000001</v>
      </c>
      <c r="AE12" s="16">
        <v>2.2822100000000001</v>
      </c>
      <c r="AF12" s="14"/>
      <c r="AG12" s="16">
        <v>2.6589999999999998</v>
      </c>
      <c r="AH12" s="15" t="s">
        <v>26</v>
      </c>
      <c r="AI12" s="16">
        <v>0.60489000000000004</v>
      </c>
      <c r="AJ12" s="16">
        <v>0.88626400000000005</v>
      </c>
      <c r="AK12" s="14"/>
      <c r="AL12" s="15"/>
      <c r="AM12" s="15" t="s">
        <v>26</v>
      </c>
      <c r="AN12" s="15"/>
      <c r="AO12" s="16">
        <v>12.373200000000001</v>
      </c>
      <c r="AP12" s="14"/>
      <c r="AQ12" s="16">
        <v>6.7721999999999998</v>
      </c>
      <c r="AR12" s="15" t="s">
        <v>26</v>
      </c>
      <c r="AS12" s="16">
        <v>1.4386000000000001</v>
      </c>
      <c r="AT12" s="16">
        <v>1.97302</v>
      </c>
      <c r="AU12" s="14"/>
      <c r="AV12" s="15"/>
      <c r="AW12" s="15" t="s">
        <v>26</v>
      </c>
      <c r="AX12" s="15"/>
      <c r="AY12" s="15"/>
      <c r="AZ12" s="14"/>
      <c r="BA12" s="16">
        <v>5.0122</v>
      </c>
      <c r="BB12" s="15" t="s">
        <v>26</v>
      </c>
      <c r="BC12" s="16">
        <v>0.46100999999999998</v>
      </c>
      <c r="BD12" s="16">
        <v>1.7679199999999999</v>
      </c>
      <c r="BE12" s="14"/>
      <c r="BF12" s="16">
        <v>8.2707999999999995</v>
      </c>
      <c r="BG12" s="15" t="s">
        <v>26</v>
      </c>
      <c r="BH12" s="16">
        <v>2.0889000000000002</v>
      </c>
      <c r="BI12" s="16">
        <v>5.0554399999999999</v>
      </c>
      <c r="BJ12" s="14"/>
      <c r="BK12" s="16">
        <v>5.4949000000000003</v>
      </c>
      <c r="BL12" s="15" t="s">
        <v>26</v>
      </c>
      <c r="BM12" s="16">
        <v>16.248000000000001</v>
      </c>
      <c r="BN12" s="16">
        <v>12.4939</v>
      </c>
      <c r="BO12" s="14"/>
      <c r="BP12" s="16">
        <v>0.79696</v>
      </c>
      <c r="BQ12" s="15" t="s">
        <v>26</v>
      </c>
      <c r="BR12" s="16">
        <v>0.62609999999999999</v>
      </c>
      <c r="BS12" s="16">
        <v>0.84211899999999995</v>
      </c>
      <c r="BT12" s="14"/>
      <c r="BU12" s="16">
        <v>15.143000000000001</v>
      </c>
      <c r="BV12" s="15" t="s">
        <v>26</v>
      </c>
      <c r="BW12" s="16">
        <v>5.3201999999999998</v>
      </c>
      <c r="BX12" s="17">
        <v>11.7522</v>
      </c>
    </row>
    <row r="13" spans="1:76" ht="15" thickBot="1" x14ac:dyDescent="0.4">
      <c r="A13" s="13" t="s">
        <v>75</v>
      </c>
      <c r="B13" s="13" t="s">
        <v>42</v>
      </c>
      <c r="C13" s="13" t="s">
        <v>76</v>
      </c>
      <c r="D13" s="13">
        <v>6.6289000000000001E-2</v>
      </c>
      <c r="E13" s="21">
        <v>44831</v>
      </c>
      <c r="F13" s="13">
        <v>1.8443865740740739</v>
      </c>
      <c r="G13" s="13"/>
      <c r="H13" s="22">
        <v>65.159000000000006</v>
      </c>
      <c r="I13" s="9" t="s">
        <v>26</v>
      </c>
      <c r="J13" s="22">
        <v>5.8920000000000003</v>
      </c>
      <c r="K13" s="22">
        <v>7.8173199999999996</v>
      </c>
      <c r="L13" s="13"/>
      <c r="M13" s="22">
        <v>22.728000000000002</v>
      </c>
      <c r="N13" s="9" t="s">
        <v>26</v>
      </c>
      <c r="O13" s="22">
        <v>1.3674999999999999</v>
      </c>
      <c r="P13" s="22">
        <v>8.6030599999999993</v>
      </c>
      <c r="Q13" s="13"/>
      <c r="R13" s="9"/>
      <c r="S13" s="9" t="s">
        <v>26</v>
      </c>
      <c r="T13" s="9"/>
      <c r="U13" s="22">
        <v>0.95043900000000003</v>
      </c>
      <c r="V13" s="13"/>
      <c r="W13" s="9"/>
      <c r="X13" s="9" t="s">
        <v>26</v>
      </c>
      <c r="Y13" s="9"/>
      <c r="Z13" s="22">
        <v>0.49391499999999999</v>
      </c>
      <c r="AA13" s="13"/>
      <c r="AB13" s="22">
        <v>3.1958000000000002</v>
      </c>
      <c r="AC13" s="9" t="s">
        <v>26</v>
      </c>
      <c r="AD13" s="22">
        <v>0.27961999999999998</v>
      </c>
      <c r="AE13" s="22">
        <v>1.6229899999999999</v>
      </c>
      <c r="AF13" s="13"/>
      <c r="AG13" s="22">
        <v>3.7605</v>
      </c>
      <c r="AH13" s="9" t="s">
        <v>26</v>
      </c>
      <c r="AI13" s="22">
        <v>0.48444999999999999</v>
      </c>
      <c r="AJ13" s="22">
        <v>0.554122</v>
      </c>
      <c r="AK13" s="13"/>
      <c r="AL13" s="9"/>
      <c r="AM13" s="9" t="s">
        <v>26</v>
      </c>
      <c r="AN13" s="9"/>
      <c r="AO13" s="22">
        <v>6.6129600000000002</v>
      </c>
      <c r="AP13" s="13"/>
      <c r="AQ13" s="22">
        <v>5.6356000000000002</v>
      </c>
      <c r="AR13" s="9" t="s">
        <v>26</v>
      </c>
      <c r="AS13" s="22">
        <v>0.83087</v>
      </c>
      <c r="AT13" s="22">
        <v>1.74709</v>
      </c>
      <c r="AU13" s="13"/>
      <c r="AV13" s="9"/>
      <c r="AW13" s="9" t="s">
        <v>26</v>
      </c>
      <c r="AX13" s="9"/>
      <c r="AY13" s="9"/>
      <c r="AZ13" s="13"/>
      <c r="BA13" s="22">
        <v>5.2084000000000001</v>
      </c>
      <c r="BB13" s="9" t="s">
        <v>26</v>
      </c>
      <c r="BC13" s="22">
        <v>0.45989000000000002</v>
      </c>
      <c r="BD13" s="22">
        <v>1.9016</v>
      </c>
      <c r="BE13" s="13"/>
      <c r="BF13" s="22">
        <v>8.9623000000000008</v>
      </c>
      <c r="BG13" s="9" t="s">
        <v>26</v>
      </c>
      <c r="BH13" s="22">
        <v>1.7303999999999999</v>
      </c>
      <c r="BI13" s="22">
        <v>4.2570899999999998</v>
      </c>
      <c r="BJ13" s="13"/>
      <c r="BK13" s="22">
        <v>19.956</v>
      </c>
      <c r="BL13" s="9" t="s">
        <v>26</v>
      </c>
      <c r="BM13" s="22">
        <v>6.1647999999999996</v>
      </c>
      <c r="BN13" s="22">
        <v>11.340999999999999</v>
      </c>
      <c r="BO13" s="13"/>
      <c r="BP13" s="22">
        <v>1.5557000000000001</v>
      </c>
      <c r="BQ13" s="9" t="s">
        <v>26</v>
      </c>
      <c r="BR13" s="22">
        <v>0.53410000000000002</v>
      </c>
      <c r="BS13" s="22">
        <v>0.59397500000000003</v>
      </c>
      <c r="BT13" s="13"/>
      <c r="BU13" s="9"/>
      <c r="BV13" s="9" t="s">
        <v>26</v>
      </c>
      <c r="BW13" s="9"/>
      <c r="BX13" s="23">
        <v>9.04955</v>
      </c>
    </row>
    <row r="14" spans="1:76" ht="15" thickBot="1" x14ac:dyDescent="0.4">
      <c r="A14" s="13" t="s">
        <v>77</v>
      </c>
      <c r="B14" s="13" t="s">
        <v>42</v>
      </c>
      <c r="C14" s="13" t="s">
        <v>76</v>
      </c>
      <c r="D14" s="13">
        <v>6.3230999999999996E-2</v>
      </c>
      <c r="E14" s="21">
        <v>44830</v>
      </c>
      <c r="F14" s="13">
        <v>1.0105787037037037</v>
      </c>
      <c r="G14" s="13"/>
      <c r="H14" s="22">
        <v>77.138000000000005</v>
      </c>
      <c r="I14" s="9" t="s">
        <v>26</v>
      </c>
      <c r="J14" s="22">
        <v>7.7000999999999999</v>
      </c>
      <c r="K14" s="22">
        <v>9.4718599999999995</v>
      </c>
      <c r="L14" s="13"/>
      <c r="M14" s="22">
        <v>30.914000000000001</v>
      </c>
      <c r="N14" s="9" t="s">
        <v>26</v>
      </c>
      <c r="O14" s="22">
        <v>2.0929000000000002</v>
      </c>
      <c r="P14" s="22">
        <v>7.49458</v>
      </c>
      <c r="Q14" s="13"/>
      <c r="R14" s="9"/>
      <c r="S14" s="9" t="s">
        <v>26</v>
      </c>
      <c r="T14" s="9"/>
      <c r="U14" s="22">
        <v>1.34843</v>
      </c>
      <c r="V14" s="13"/>
      <c r="W14" s="9"/>
      <c r="X14" s="9" t="s">
        <v>26</v>
      </c>
      <c r="Y14" s="9"/>
      <c r="Z14" s="22">
        <v>0.72366200000000003</v>
      </c>
      <c r="AA14" s="13"/>
      <c r="AB14" s="9"/>
      <c r="AC14" s="9" t="s">
        <v>26</v>
      </c>
      <c r="AD14" s="9"/>
      <c r="AE14" s="22">
        <v>2.8210799999999998</v>
      </c>
      <c r="AF14" s="13"/>
      <c r="AG14" s="22">
        <v>3.2462</v>
      </c>
      <c r="AH14" s="9" t="s">
        <v>26</v>
      </c>
      <c r="AI14" s="22">
        <v>0.19619</v>
      </c>
      <c r="AJ14" s="22">
        <v>0.74575499999999995</v>
      </c>
      <c r="AK14" s="13"/>
      <c r="AL14" s="9"/>
      <c r="AM14" s="9" t="s">
        <v>26</v>
      </c>
      <c r="AN14" s="9"/>
      <c r="AO14" s="22">
        <v>9.2909900000000007</v>
      </c>
      <c r="AP14" s="13"/>
      <c r="AQ14" s="22">
        <v>6.0456000000000003</v>
      </c>
      <c r="AR14" s="9" t="s">
        <v>26</v>
      </c>
      <c r="AS14" s="22">
        <v>0.43762000000000001</v>
      </c>
      <c r="AT14" s="22">
        <v>2.3112900000000001</v>
      </c>
      <c r="AU14" s="13"/>
      <c r="AV14" s="9"/>
      <c r="AW14" s="9" t="s">
        <v>26</v>
      </c>
      <c r="AX14" s="9"/>
      <c r="AY14" s="9"/>
      <c r="AZ14" s="13"/>
      <c r="BA14" s="22">
        <v>6.1576000000000004</v>
      </c>
      <c r="BB14" s="9" t="s">
        <v>26</v>
      </c>
      <c r="BC14" s="22">
        <v>2.1472000000000002</v>
      </c>
      <c r="BD14" s="22">
        <v>2.4384399999999999</v>
      </c>
      <c r="BE14" s="13"/>
      <c r="BF14" s="22">
        <v>11.789</v>
      </c>
      <c r="BG14" s="9" t="s">
        <v>26</v>
      </c>
      <c r="BH14" s="22">
        <v>0.98643000000000003</v>
      </c>
      <c r="BI14" s="22">
        <v>6.7492999999999999</v>
      </c>
      <c r="BJ14" s="13"/>
      <c r="BK14" s="22">
        <v>23.465</v>
      </c>
      <c r="BL14" s="9" t="s">
        <v>26</v>
      </c>
      <c r="BM14" s="22">
        <v>10.028</v>
      </c>
      <c r="BN14" s="22">
        <v>19.1922</v>
      </c>
      <c r="BO14" s="13"/>
      <c r="BP14" s="22">
        <v>1.0125999999999999</v>
      </c>
      <c r="BQ14" s="9" t="s">
        <v>26</v>
      </c>
      <c r="BR14" s="22">
        <v>0.12255000000000001</v>
      </c>
      <c r="BS14" s="22">
        <v>0.64732199999999995</v>
      </c>
      <c r="BT14" s="13"/>
      <c r="BU14" s="22">
        <v>19.405000000000001</v>
      </c>
      <c r="BV14" s="9" t="s">
        <v>26</v>
      </c>
      <c r="BW14" s="22">
        <v>1.8486</v>
      </c>
      <c r="BX14" s="23">
        <v>11.394399999999999</v>
      </c>
    </row>
    <row r="15" spans="1:76" ht="15" thickBot="1" x14ac:dyDescent="0.4">
      <c r="A15" s="13" t="s">
        <v>78</v>
      </c>
      <c r="B15" s="13" t="s">
        <v>42</v>
      </c>
      <c r="C15" s="13" t="s">
        <v>76</v>
      </c>
      <c r="D15" s="13">
        <v>6.5379999999999994E-2</v>
      </c>
      <c r="E15" s="21">
        <v>44833</v>
      </c>
      <c r="F15" s="13">
        <v>1.253275462962963</v>
      </c>
      <c r="G15" s="13"/>
      <c r="H15" s="22">
        <v>61.143999999999998</v>
      </c>
      <c r="I15" s="9" t="s">
        <v>26</v>
      </c>
      <c r="J15" s="22">
        <v>6.6058000000000003</v>
      </c>
      <c r="K15" s="22">
        <v>10.0907</v>
      </c>
      <c r="L15" s="13"/>
      <c r="M15" s="22">
        <v>22.838000000000001</v>
      </c>
      <c r="N15" s="9" t="s">
        <v>26</v>
      </c>
      <c r="O15" s="22">
        <v>1.6472</v>
      </c>
      <c r="P15" s="22">
        <v>6.3471500000000001</v>
      </c>
      <c r="Q15" s="13"/>
      <c r="R15" s="9"/>
      <c r="S15" s="9" t="s">
        <v>26</v>
      </c>
      <c r="T15" s="9"/>
      <c r="U15" s="22">
        <v>1.1392</v>
      </c>
      <c r="V15" s="13"/>
      <c r="W15" s="9"/>
      <c r="X15" s="9" t="s">
        <v>26</v>
      </c>
      <c r="Y15" s="9"/>
      <c r="Z15" s="22">
        <v>0.59786600000000001</v>
      </c>
      <c r="AA15" s="13"/>
      <c r="AB15" s="22">
        <v>2.0604</v>
      </c>
      <c r="AC15" s="9" t="s">
        <v>26</v>
      </c>
      <c r="AD15" s="22">
        <v>0.29182999999999998</v>
      </c>
      <c r="AE15" s="22">
        <v>1.5359400000000001</v>
      </c>
      <c r="AF15" s="13"/>
      <c r="AG15" s="22">
        <v>2.5038</v>
      </c>
      <c r="AH15" s="9" t="s">
        <v>26</v>
      </c>
      <c r="AI15" s="22">
        <v>0.17427999999999999</v>
      </c>
      <c r="AJ15" s="22">
        <v>0.66590499999999997</v>
      </c>
      <c r="AK15" s="13"/>
      <c r="AL15" s="9"/>
      <c r="AM15" s="9" t="s">
        <v>26</v>
      </c>
      <c r="AN15" s="9"/>
      <c r="AO15" s="22">
        <v>8.0138700000000007</v>
      </c>
      <c r="AP15" s="13"/>
      <c r="AQ15" s="22">
        <v>2.0615000000000001</v>
      </c>
      <c r="AR15" s="9" t="s">
        <v>26</v>
      </c>
      <c r="AS15" s="22">
        <v>0.60953000000000002</v>
      </c>
      <c r="AT15" s="22">
        <v>1.9849300000000001</v>
      </c>
      <c r="AU15" s="13"/>
      <c r="AV15" s="9"/>
      <c r="AW15" s="9" t="s">
        <v>26</v>
      </c>
      <c r="AX15" s="9"/>
      <c r="AY15" s="9"/>
      <c r="AZ15" s="13"/>
      <c r="BA15" s="22">
        <v>2.7458999999999998</v>
      </c>
      <c r="BB15" s="9" t="s">
        <v>26</v>
      </c>
      <c r="BC15" s="22">
        <v>0.90415000000000001</v>
      </c>
      <c r="BD15" s="22">
        <v>2.0797300000000001</v>
      </c>
      <c r="BE15" s="13"/>
      <c r="BF15" s="22">
        <v>2.3879999999999999</v>
      </c>
      <c r="BG15" s="9" t="s">
        <v>26</v>
      </c>
      <c r="BH15" s="22">
        <v>0.91895000000000004</v>
      </c>
      <c r="BI15" s="22">
        <v>4.6168699999999996</v>
      </c>
      <c r="BJ15" s="13"/>
      <c r="BK15" s="22">
        <v>24.945</v>
      </c>
      <c r="BL15" s="9" t="s">
        <v>26</v>
      </c>
      <c r="BM15" s="22">
        <v>2.2976999999999999</v>
      </c>
      <c r="BN15" s="22">
        <v>15.9122</v>
      </c>
      <c r="BO15" s="13"/>
      <c r="BP15" s="22">
        <v>1.2375</v>
      </c>
      <c r="BQ15" s="9" t="s">
        <v>26</v>
      </c>
      <c r="BR15" s="22">
        <v>0.10996</v>
      </c>
      <c r="BS15" s="22">
        <v>0.69686700000000001</v>
      </c>
      <c r="BT15" s="13"/>
      <c r="BU15" s="9"/>
      <c r="BV15" s="9" t="s">
        <v>26</v>
      </c>
      <c r="BW15" s="9"/>
      <c r="BX15" s="23">
        <v>10.7567</v>
      </c>
    </row>
    <row r="16" spans="1:76" ht="15" thickBot="1" x14ac:dyDescent="0.4">
      <c r="A16" s="13" t="s">
        <v>79</v>
      </c>
      <c r="B16" s="13" t="s">
        <v>42</v>
      </c>
      <c r="C16" s="13" t="s">
        <v>76</v>
      </c>
      <c r="D16" s="13">
        <v>6.5835000000000005E-2</v>
      </c>
      <c r="E16" s="21">
        <v>44834</v>
      </c>
      <c r="F16" s="13">
        <v>3.7132291666666668</v>
      </c>
      <c r="G16" s="13"/>
      <c r="H16" s="22">
        <v>64.025999999999996</v>
      </c>
      <c r="I16" s="9" t="s">
        <v>26</v>
      </c>
      <c r="J16" s="22">
        <v>5.2472000000000003</v>
      </c>
      <c r="K16" s="22">
        <v>6.0507</v>
      </c>
      <c r="L16" s="13"/>
      <c r="M16" s="22">
        <v>34.097000000000001</v>
      </c>
      <c r="N16" s="9" t="s">
        <v>26</v>
      </c>
      <c r="O16" s="22">
        <v>1.1815</v>
      </c>
      <c r="P16" s="22">
        <v>6.5237699999999998</v>
      </c>
      <c r="Q16" s="13"/>
      <c r="R16" s="9"/>
      <c r="S16" s="9" t="s">
        <v>26</v>
      </c>
      <c r="T16" s="9"/>
      <c r="U16" s="22">
        <v>0.65027599999999997</v>
      </c>
      <c r="V16" s="13"/>
      <c r="W16" s="9"/>
      <c r="X16" s="9" t="s">
        <v>26</v>
      </c>
      <c r="Y16" s="9"/>
      <c r="Z16" s="22">
        <v>0.34460200000000002</v>
      </c>
      <c r="AA16" s="13"/>
      <c r="AB16" s="22">
        <v>2.7509999999999999</v>
      </c>
      <c r="AC16" s="9" t="s">
        <v>26</v>
      </c>
      <c r="AD16" s="22">
        <v>0.85324</v>
      </c>
      <c r="AE16" s="22">
        <v>1.2307699999999999</v>
      </c>
      <c r="AF16" s="13"/>
      <c r="AG16" s="22">
        <v>2.6322000000000001</v>
      </c>
      <c r="AH16" s="9" t="s">
        <v>26</v>
      </c>
      <c r="AI16" s="22">
        <v>0.12264</v>
      </c>
      <c r="AJ16" s="22">
        <v>0.37850499999999998</v>
      </c>
      <c r="AK16" s="13"/>
      <c r="AL16" s="9"/>
      <c r="AM16" s="9" t="s">
        <v>26</v>
      </c>
      <c r="AN16" s="9"/>
      <c r="AO16" s="22">
        <v>4.5592100000000002</v>
      </c>
      <c r="AP16" s="13"/>
      <c r="AQ16" s="22">
        <v>3.1665000000000001</v>
      </c>
      <c r="AR16" s="9" t="s">
        <v>26</v>
      </c>
      <c r="AS16" s="22">
        <v>0.68259999999999998</v>
      </c>
      <c r="AT16" s="22">
        <v>1.2498199999999999</v>
      </c>
      <c r="AU16" s="13"/>
      <c r="AV16" s="9"/>
      <c r="AW16" s="9" t="s">
        <v>26</v>
      </c>
      <c r="AX16" s="9"/>
      <c r="AY16" s="9"/>
      <c r="AZ16" s="13"/>
      <c r="BA16" s="22">
        <v>2.4247999999999998</v>
      </c>
      <c r="BB16" s="9" t="s">
        <v>26</v>
      </c>
      <c r="BC16" s="22">
        <v>0.61526999999999998</v>
      </c>
      <c r="BD16" s="22">
        <v>1.6524399999999999</v>
      </c>
      <c r="BE16" s="13"/>
      <c r="BF16" s="22">
        <v>3.7343999999999999</v>
      </c>
      <c r="BG16" s="9" t="s">
        <v>26</v>
      </c>
      <c r="BH16" s="22">
        <v>0.64078000000000002</v>
      </c>
      <c r="BI16" s="22">
        <v>2.9283600000000001</v>
      </c>
      <c r="BJ16" s="13"/>
      <c r="BK16" s="22">
        <v>17.774000000000001</v>
      </c>
      <c r="BL16" s="9" t="s">
        <v>26</v>
      </c>
      <c r="BM16" s="22">
        <v>4.4287000000000001</v>
      </c>
      <c r="BN16" s="22">
        <v>7.5767499999999997</v>
      </c>
      <c r="BO16" s="13"/>
      <c r="BP16" s="22">
        <v>1.0130999999999999</v>
      </c>
      <c r="BQ16" s="9" t="s">
        <v>26</v>
      </c>
      <c r="BR16" s="22">
        <v>0.23616000000000001</v>
      </c>
      <c r="BS16" s="22">
        <v>0.44264399999999998</v>
      </c>
      <c r="BT16" s="13"/>
      <c r="BU16" s="22">
        <v>13.359</v>
      </c>
      <c r="BV16" s="9" t="s">
        <v>26</v>
      </c>
      <c r="BW16" s="22">
        <v>0.88637999999999995</v>
      </c>
      <c r="BX16" s="23">
        <v>5.49695</v>
      </c>
    </row>
    <row r="17" spans="1:76" ht="15" thickBot="1" x14ac:dyDescent="0.4">
      <c r="A17" s="13" t="s">
        <v>80</v>
      </c>
      <c r="B17" s="13" t="s">
        <v>42</v>
      </c>
      <c r="C17" s="13" t="s">
        <v>76</v>
      </c>
      <c r="D17" s="13">
        <v>6.8128999999999995E-2</v>
      </c>
      <c r="E17" s="21">
        <v>44838</v>
      </c>
      <c r="F17" s="13">
        <v>1.0907060185185184</v>
      </c>
      <c r="G17" s="13"/>
      <c r="H17" s="22">
        <v>59.091000000000001</v>
      </c>
      <c r="I17" s="9" t="s">
        <v>26</v>
      </c>
      <c r="J17" s="22">
        <v>7.6003999999999996</v>
      </c>
      <c r="K17" s="22">
        <v>9.6027400000000007</v>
      </c>
      <c r="L17" s="13"/>
      <c r="M17" s="22">
        <v>25.739000000000001</v>
      </c>
      <c r="N17" s="9" t="s">
        <v>26</v>
      </c>
      <c r="O17" s="22">
        <v>1.7641</v>
      </c>
      <c r="P17" s="22">
        <v>10.242900000000001</v>
      </c>
      <c r="Q17" s="13"/>
      <c r="R17" s="9"/>
      <c r="S17" s="9" t="s">
        <v>26</v>
      </c>
      <c r="T17" s="9"/>
      <c r="U17" s="22">
        <v>1.1586099999999999</v>
      </c>
      <c r="V17" s="13"/>
      <c r="W17" s="9"/>
      <c r="X17" s="9" t="s">
        <v>26</v>
      </c>
      <c r="Y17" s="9"/>
      <c r="Z17" s="22">
        <v>0.63748499999999997</v>
      </c>
      <c r="AA17" s="13"/>
      <c r="AB17" s="22">
        <v>2.9523999999999999</v>
      </c>
      <c r="AC17" s="9" t="s">
        <v>26</v>
      </c>
      <c r="AD17" s="22">
        <v>1.8264</v>
      </c>
      <c r="AE17" s="22">
        <v>1.5628899999999999</v>
      </c>
      <c r="AF17" s="13"/>
      <c r="AG17" s="22">
        <v>2.2740999999999998</v>
      </c>
      <c r="AH17" s="9" t="s">
        <v>26</v>
      </c>
      <c r="AI17" s="22">
        <v>0.17907999999999999</v>
      </c>
      <c r="AJ17" s="22">
        <v>1.1207800000000001</v>
      </c>
      <c r="AK17" s="13"/>
      <c r="AL17" s="9"/>
      <c r="AM17" s="9" t="s">
        <v>26</v>
      </c>
      <c r="AN17" s="9"/>
      <c r="AO17" s="22">
        <v>8.3306400000000007</v>
      </c>
      <c r="AP17" s="13"/>
      <c r="AQ17" s="22">
        <v>2.2425000000000002</v>
      </c>
      <c r="AR17" s="9" t="s">
        <v>26</v>
      </c>
      <c r="AS17" s="22">
        <v>1.0004999999999999</v>
      </c>
      <c r="AT17" s="22">
        <v>2.0589200000000001</v>
      </c>
      <c r="AU17" s="13"/>
      <c r="AV17" s="9"/>
      <c r="AW17" s="9" t="s">
        <v>26</v>
      </c>
      <c r="AX17" s="9"/>
      <c r="AY17" s="9"/>
      <c r="AZ17" s="13"/>
      <c r="BA17" s="22">
        <v>2.9161000000000001</v>
      </c>
      <c r="BB17" s="9" t="s">
        <v>26</v>
      </c>
      <c r="BC17" s="22">
        <v>0.47066999999999998</v>
      </c>
      <c r="BD17" s="22">
        <v>2.0135800000000001</v>
      </c>
      <c r="BE17" s="13"/>
      <c r="BF17" s="9"/>
      <c r="BG17" s="9" t="s">
        <v>26</v>
      </c>
      <c r="BH17" s="9"/>
      <c r="BI17" s="22">
        <v>8.12486</v>
      </c>
      <c r="BJ17" s="13"/>
      <c r="BK17" s="22">
        <v>17.792000000000002</v>
      </c>
      <c r="BL17" s="9" t="s">
        <v>26</v>
      </c>
      <c r="BM17" s="22">
        <v>2.2277999999999998</v>
      </c>
      <c r="BN17" s="22">
        <v>17.076699999999999</v>
      </c>
      <c r="BO17" s="13"/>
      <c r="BP17" s="22">
        <v>1.2545999999999999</v>
      </c>
      <c r="BQ17" s="9" t="s">
        <v>26</v>
      </c>
      <c r="BR17" s="22">
        <v>0.1135</v>
      </c>
      <c r="BS17" s="22">
        <v>0.64365000000000006</v>
      </c>
      <c r="BT17" s="13"/>
      <c r="BU17" s="22">
        <v>14.952999999999999</v>
      </c>
      <c r="BV17" s="9" t="s">
        <v>26</v>
      </c>
      <c r="BW17" s="22">
        <v>1.4511000000000001</v>
      </c>
      <c r="BX17" s="23">
        <v>8.2548399999999997</v>
      </c>
    </row>
    <row r="18" spans="1:76" ht="15" thickBot="1" x14ac:dyDescent="0.4">
      <c r="A18" s="13" t="s">
        <v>81</v>
      </c>
      <c r="B18" s="13" t="s">
        <v>42</v>
      </c>
      <c r="C18" s="13" t="s">
        <v>76</v>
      </c>
      <c r="D18" s="13">
        <v>6.8693000000000004E-2</v>
      </c>
      <c r="E18" s="21">
        <v>44839</v>
      </c>
      <c r="F18" s="13">
        <v>0.99239583333333325</v>
      </c>
      <c r="G18" s="13"/>
      <c r="H18" s="22">
        <v>70.13</v>
      </c>
      <c r="I18" s="9" t="s">
        <v>26</v>
      </c>
      <c r="J18" s="22">
        <v>8.0745000000000005</v>
      </c>
      <c r="K18" s="22">
        <v>9.3852100000000007</v>
      </c>
      <c r="L18" s="13"/>
      <c r="M18" s="22">
        <v>25.308</v>
      </c>
      <c r="N18" s="9" t="s">
        <v>26</v>
      </c>
      <c r="O18" s="22">
        <v>1.7639</v>
      </c>
      <c r="P18" s="22">
        <v>10.3992</v>
      </c>
      <c r="Q18" s="13"/>
      <c r="R18" s="9"/>
      <c r="S18" s="9" t="s">
        <v>26</v>
      </c>
      <c r="T18" s="9"/>
      <c r="U18" s="22">
        <v>1.22445</v>
      </c>
      <c r="V18" s="13"/>
      <c r="W18" s="9"/>
      <c r="X18" s="9" t="s">
        <v>26</v>
      </c>
      <c r="Y18" s="9"/>
      <c r="Z18" s="22">
        <v>0.65434499999999995</v>
      </c>
      <c r="AA18" s="13"/>
      <c r="AB18" s="22">
        <v>1.5414000000000001</v>
      </c>
      <c r="AC18" s="9" t="s">
        <v>26</v>
      </c>
      <c r="AD18" s="22">
        <v>0.30429</v>
      </c>
      <c r="AE18" s="22">
        <v>1.7906299999999999</v>
      </c>
      <c r="AF18" s="13"/>
      <c r="AG18" s="22">
        <v>2.6661000000000001</v>
      </c>
      <c r="AH18" s="9" t="s">
        <v>26</v>
      </c>
      <c r="AI18" s="22">
        <v>0.19012000000000001</v>
      </c>
      <c r="AJ18" s="22">
        <v>0.71308800000000006</v>
      </c>
      <c r="AK18" s="13"/>
      <c r="AL18" s="9"/>
      <c r="AM18" s="9" t="s">
        <v>26</v>
      </c>
      <c r="AN18" s="9"/>
      <c r="AO18" s="22">
        <v>8.4497300000000006</v>
      </c>
      <c r="AP18" s="13"/>
      <c r="AQ18" s="22">
        <v>3.2789000000000001</v>
      </c>
      <c r="AR18" s="9" t="s">
        <v>26</v>
      </c>
      <c r="AS18" s="22">
        <v>0.36657000000000001</v>
      </c>
      <c r="AT18" s="22">
        <v>2.0132599999999998</v>
      </c>
      <c r="AU18" s="13"/>
      <c r="AV18" s="9"/>
      <c r="AW18" s="9" t="s">
        <v>26</v>
      </c>
      <c r="AX18" s="9"/>
      <c r="AY18" s="9"/>
      <c r="AZ18" s="13"/>
      <c r="BA18" s="22">
        <v>3.5520999999999998</v>
      </c>
      <c r="BB18" s="9" t="s">
        <v>26</v>
      </c>
      <c r="BC18" s="22">
        <v>0.95906999999999998</v>
      </c>
      <c r="BD18" s="22">
        <v>2.1464799999999999</v>
      </c>
      <c r="BE18" s="13"/>
      <c r="BF18" s="22">
        <v>4.9368999999999996</v>
      </c>
      <c r="BG18" s="9" t="s">
        <v>26</v>
      </c>
      <c r="BH18" s="22">
        <v>1.0166999999999999</v>
      </c>
      <c r="BI18" s="22">
        <v>5.14846</v>
      </c>
      <c r="BJ18" s="13"/>
      <c r="BK18" s="22">
        <v>14.108000000000001</v>
      </c>
      <c r="BL18" s="9" t="s">
        <v>26</v>
      </c>
      <c r="BM18" s="22">
        <v>2.1469999999999998</v>
      </c>
      <c r="BN18" s="22">
        <v>13.820399999999999</v>
      </c>
      <c r="BO18" s="13"/>
      <c r="BP18" s="22">
        <v>0.76929999999999998</v>
      </c>
      <c r="BQ18" s="9" t="s">
        <v>26</v>
      </c>
      <c r="BR18" s="22">
        <v>0.11183</v>
      </c>
      <c r="BS18" s="22">
        <v>0.67546399999999995</v>
      </c>
      <c r="BT18" s="13"/>
      <c r="BU18" s="22">
        <v>17.128</v>
      </c>
      <c r="BV18" s="9" t="s">
        <v>26</v>
      </c>
      <c r="BW18" s="22">
        <v>1.6821999999999999</v>
      </c>
      <c r="BX18" s="23">
        <v>10.7416</v>
      </c>
    </row>
    <row r="19" spans="1:76" ht="15" thickBot="1" x14ac:dyDescent="0.4">
      <c r="A19" s="13" t="s">
        <v>82</v>
      </c>
      <c r="B19" s="13" t="s">
        <v>42</v>
      </c>
      <c r="C19" s="13" t="s">
        <v>76</v>
      </c>
      <c r="D19" s="13">
        <v>6.8653000000000006E-2</v>
      </c>
      <c r="E19" s="21">
        <v>44840</v>
      </c>
      <c r="F19" s="13">
        <v>0.99228009259259264</v>
      </c>
      <c r="G19" s="13"/>
      <c r="H19" s="22">
        <v>75.837000000000003</v>
      </c>
      <c r="I19" s="9" t="s">
        <v>26</v>
      </c>
      <c r="J19" s="22">
        <v>7.7096999999999998</v>
      </c>
      <c r="K19" s="22">
        <v>8.6035900000000005</v>
      </c>
      <c r="L19" s="13"/>
      <c r="M19" s="22">
        <v>27.792999999999999</v>
      </c>
      <c r="N19" s="9" t="s">
        <v>26</v>
      </c>
      <c r="O19" s="22">
        <v>5.3906000000000001</v>
      </c>
      <c r="P19" s="22">
        <v>10.5107</v>
      </c>
      <c r="Q19" s="13"/>
      <c r="R19" s="9"/>
      <c r="S19" s="9" t="s">
        <v>26</v>
      </c>
      <c r="T19" s="9"/>
      <c r="U19" s="22">
        <v>1.2196800000000001</v>
      </c>
      <c r="V19" s="13"/>
      <c r="W19" s="9"/>
      <c r="X19" s="9" t="s">
        <v>26</v>
      </c>
      <c r="Y19" s="9"/>
      <c r="Z19" s="22">
        <v>0.65022999999999997</v>
      </c>
      <c r="AA19" s="13"/>
      <c r="AB19" s="9"/>
      <c r="AC19" s="9" t="s">
        <v>26</v>
      </c>
      <c r="AD19" s="9"/>
      <c r="AE19" s="22">
        <v>2.58677</v>
      </c>
      <c r="AF19" s="13"/>
      <c r="AG19" s="22">
        <v>2.8839999999999999</v>
      </c>
      <c r="AH19" s="9" t="s">
        <v>26</v>
      </c>
      <c r="AI19" s="22">
        <v>0.19872000000000001</v>
      </c>
      <c r="AJ19" s="22">
        <v>0.71369499999999997</v>
      </c>
      <c r="AK19" s="13"/>
      <c r="AL19" s="9"/>
      <c r="AM19" s="9" t="s">
        <v>26</v>
      </c>
      <c r="AN19" s="9"/>
      <c r="AO19" s="22">
        <v>8.5349199999999996</v>
      </c>
      <c r="AP19" s="13"/>
      <c r="AQ19" s="22">
        <v>2.9796</v>
      </c>
      <c r="AR19" s="9" t="s">
        <v>26</v>
      </c>
      <c r="AS19" s="22">
        <v>0.53820000000000001</v>
      </c>
      <c r="AT19" s="22">
        <v>2.00224</v>
      </c>
      <c r="AU19" s="13"/>
      <c r="AV19" s="9"/>
      <c r="AW19" s="9" t="s">
        <v>26</v>
      </c>
      <c r="AX19" s="9"/>
      <c r="AY19" s="9"/>
      <c r="AZ19" s="13"/>
      <c r="BA19" s="22">
        <v>3.0434000000000001</v>
      </c>
      <c r="BB19" s="9" t="s">
        <v>26</v>
      </c>
      <c r="BC19" s="22">
        <v>0.99261999999999995</v>
      </c>
      <c r="BD19" s="22">
        <v>2.1369899999999999</v>
      </c>
      <c r="BE19" s="13"/>
      <c r="BF19" s="22">
        <v>0.48031000000000001</v>
      </c>
      <c r="BG19" s="9" t="s">
        <v>26</v>
      </c>
      <c r="BH19" s="22">
        <v>0.91547000000000001</v>
      </c>
      <c r="BI19" s="22">
        <v>4.79176</v>
      </c>
      <c r="BJ19" s="13"/>
      <c r="BK19" s="9"/>
      <c r="BL19" s="9" t="s">
        <v>26</v>
      </c>
      <c r="BM19" s="9"/>
      <c r="BN19" s="22">
        <v>17.0151</v>
      </c>
      <c r="BO19" s="13"/>
      <c r="BP19" s="22">
        <v>1.0915999999999999</v>
      </c>
      <c r="BQ19" s="9" t="s">
        <v>26</v>
      </c>
      <c r="BR19" s="22">
        <v>0.42895</v>
      </c>
      <c r="BS19" s="22">
        <v>0.69179900000000005</v>
      </c>
      <c r="BT19" s="13"/>
      <c r="BU19" s="22">
        <v>9.1242000000000001</v>
      </c>
      <c r="BV19" s="9" t="s">
        <v>26</v>
      </c>
      <c r="BW19" s="22">
        <v>1.4872000000000001</v>
      </c>
      <c r="BX19" s="23">
        <v>9.9235399999999991</v>
      </c>
    </row>
    <row r="20" spans="1:76" ht="15" thickBot="1" x14ac:dyDescent="0.4">
      <c r="A20" s="13" t="s">
        <v>83</v>
      </c>
      <c r="B20" s="13" t="s">
        <v>42</v>
      </c>
      <c r="C20" s="13" t="s">
        <v>76</v>
      </c>
      <c r="D20" s="13">
        <v>6.7655000000000007E-2</v>
      </c>
      <c r="E20" s="21">
        <v>44841</v>
      </c>
      <c r="F20" s="13">
        <v>2.7347106481481482</v>
      </c>
      <c r="G20" s="13"/>
      <c r="H20" s="22">
        <v>68.835999999999999</v>
      </c>
      <c r="I20" s="9" t="s">
        <v>26</v>
      </c>
      <c r="J20" s="22">
        <v>5.3135000000000003</v>
      </c>
      <c r="K20" s="22">
        <v>7.2443799999999996</v>
      </c>
      <c r="L20" s="13"/>
      <c r="M20" s="22">
        <v>30.934000000000001</v>
      </c>
      <c r="N20" s="9" t="s">
        <v>26</v>
      </c>
      <c r="O20" s="22">
        <v>3.5804999999999998</v>
      </c>
      <c r="P20" s="22">
        <v>6.7738899999999997</v>
      </c>
      <c r="Q20" s="13"/>
      <c r="R20" s="9"/>
      <c r="S20" s="9" t="s">
        <v>26</v>
      </c>
      <c r="T20" s="9"/>
      <c r="U20" s="22">
        <v>0.75804099999999996</v>
      </c>
      <c r="V20" s="13"/>
      <c r="W20" s="9"/>
      <c r="X20" s="9" t="s">
        <v>26</v>
      </c>
      <c r="Y20" s="9"/>
      <c r="Z20" s="22">
        <v>0.40803800000000001</v>
      </c>
      <c r="AA20" s="13"/>
      <c r="AB20" s="22">
        <v>2.4878999999999998</v>
      </c>
      <c r="AC20" s="9" t="s">
        <v>26</v>
      </c>
      <c r="AD20" s="22">
        <v>1.1052999999999999</v>
      </c>
      <c r="AE20" s="22">
        <v>1.2319199999999999</v>
      </c>
      <c r="AF20" s="13"/>
      <c r="AG20" s="22">
        <v>3.0552999999999999</v>
      </c>
      <c r="AH20" s="9" t="s">
        <v>26</v>
      </c>
      <c r="AI20" s="22">
        <v>0.1426</v>
      </c>
      <c r="AJ20" s="22">
        <v>0.44121500000000002</v>
      </c>
      <c r="AK20" s="13"/>
      <c r="AL20" s="9"/>
      <c r="AM20" s="9" t="s">
        <v>26</v>
      </c>
      <c r="AN20" s="9"/>
      <c r="AO20" s="22">
        <v>5.2705099999999998</v>
      </c>
      <c r="AP20" s="13"/>
      <c r="AQ20" s="22">
        <v>2.6032999999999999</v>
      </c>
      <c r="AR20" s="9" t="s">
        <v>26</v>
      </c>
      <c r="AS20" s="22">
        <v>0.61426000000000003</v>
      </c>
      <c r="AT20" s="22">
        <v>1.3499099999999999</v>
      </c>
      <c r="AU20" s="13"/>
      <c r="AV20" s="9"/>
      <c r="AW20" s="9" t="s">
        <v>26</v>
      </c>
      <c r="AX20" s="9"/>
      <c r="AY20" s="9"/>
      <c r="AZ20" s="13"/>
      <c r="BA20" s="22">
        <v>2.5587</v>
      </c>
      <c r="BB20" s="9" t="s">
        <v>26</v>
      </c>
      <c r="BC20" s="22">
        <v>0.64227000000000001</v>
      </c>
      <c r="BD20" s="22">
        <v>1.7263299999999999</v>
      </c>
      <c r="BE20" s="13"/>
      <c r="BF20" s="22">
        <v>4.3113999999999999</v>
      </c>
      <c r="BG20" s="9" t="s">
        <v>26</v>
      </c>
      <c r="BH20" s="22">
        <v>0.68283000000000005</v>
      </c>
      <c r="BI20" s="22">
        <v>3.1559400000000002</v>
      </c>
      <c r="BJ20" s="13"/>
      <c r="BK20" s="22">
        <v>9.1869999999999994</v>
      </c>
      <c r="BL20" s="9" t="s">
        <v>26</v>
      </c>
      <c r="BM20" s="22">
        <v>1.4261999999999999</v>
      </c>
      <c r="BN20" s="22">
        <v>5.0033099999999999</v>
      </c>
      <c r="BO20" s="13"/>
      <c r="BP20" s="22">
        <v>1.0696000000000001</v>
      </c>
      <c r="BQ20" s="9" t="s">
        <v>26</v>
      </c>
      <c r="BR20" s="22">
        <v>7.7189999999999995E-2</v>
      </c>
      <c r="BS20" s="22">
        <v>0.51094600000000001</v>
      </c>
      <c r="BT20" s="13"/>
      <c r="BU20" s="22">
        <v>16.783000000000001</v>
      </c>
      <c r="BV20" s="9" t="s">
        <v>26</v>
      </c>
      <c r="BW20" s="22">
        <v>2.9306999999999999</v>
      </c>
      <c r="BX20" s="23">
        <v>7.1610399999999998</v>
      </c>
    </row>
    <row r="21" spans="1:76" ht="15" thickBot="1" x14ac:dyDescent="0.4">
      <c r="A21" s="13" t="s">
        <v>84</v>
      </c>
      <c r="B21" s="13" t="s">
        <v>42</v>
      </c>
      <c r="C21" s="13" t="s">
        <v>76</v>
      </c>
      <c r="D21" s="13">
        <v>6.9123000000000004E-2</v>
      </c>
      <c r="E21" s="21">
        <v>44844</v>
      </c>
      <c r="F21" s="13">
        <v>1.0034606481481483</v>
      </c>
      <c r="G21" s="13"/>
      <c r="H21" s="22">
        <v>68.88</v>
      </c>
      <c r="I21" s="9" t="s">
        <v>26</v>
      </c>
      <c r="J21" s="22">
        <v>7.5976999999999997</v>
      </c>
      <c r="K21" s="22">
        <v>9.1630199999999995</v>
      </c>
      <c r="L21" s="13"/>
      <c r="M21" s="22">
        <v>27.202999999999999</v>
      </c>
      <c r="N21" s="9" t="s">
        <v>26</v>
      </c>
      <c r="O21" s="22">
        <v>4.9306000000000001</v>
      </c>
      <c r="P21" s="22">
        <v>11.419499999999999</v>
      </c>
      <c r="Q21" s="13"/>
      <c r="R21" s="9"/>
      <c r="S21" s="9" t="s">
        <v>26</v>
      </c>
      <c r="T21" s="9"/>
      <c r="U21" s="22">
        <v>1.19909</v>
      </c>
      <c r="V21" s="13"/>
      <c r="W21" s="9"/>
      <c r="X21" s="9" t="s">
        <v>26</v>
      </c>
      <c r="Y21" s="9"/>
      <c r="Z21" s="22">
        <v>0.62994600000000001</v>
      </c>
      <c r="AA21" s="13"/>
      <c r="AB21" s="22">
        <v>1.6625000000000001</v>
      </c>
      <c r="AC21" s="9" t="s">
        <v>26</v>
      </c>
      <c r="AD21" s="22">
        <v>0.31459999999999999</v>
      </c>
      <c r="AE21" s="22">
        <v>1.92117</v>
      </c>
      <c r="AF21" s="13"/>
      <c r="AG21" s="22">
        <v>3.2601</v>
      </c>
      <c r="AH21" s="9" t="s">
        <v>26</v>
      </c>
      <c r="AI21" s="22">
        <v>0.20091999999999999</v>
      </c>
      <c r="AJ21" s="22">
        <v>0.66119499999999998</v>
      </c>
      <c r="AK21" s="13"/>
      <c r="AL21" s="9"/>
      <c r="AM21" s="9" t="s">
        <v>26</v>
      </c>
      <c r="AN21" s="9"/>
      <c r="AO21" s="22">
        <v>8.6694399999999998</v>
      </c>
      <c r="AP21" s="13"/>
      <c r="AQ21" s="22">
        <v>3.1253000000000002</v>
      </c>
      <c r="AR21" s="9" t="s">
        <v>26</v>
      </c>
      <c r="AS21" s="22">
        <v>0.36451</v>
      </c>
      <c r="AT21" s="22">
        <v>1.9341600000000001</v>
      </c>
      <c r="AU21" s="13"/>
      <c r="AV21" s="9"/>
      <c r="AW21" s="9" t="s">
        <v>26</v>
      </c>
      <c r="AX21" s="9"/>
      <c r="AY21" s="9"/>
      <c r="AZ21" s="13"/>
      <c r="BA21" s="22">
        <v>3.3220999999999998</v>
      </c>
      <c r="BB21" s="9" t="s">
        <v>26</v>
      </c>
      <c r="BC21" s="22">
        <v>0.97479000000000005</v>
      </c>
      <c r="BD21" s="22">
        <v>2.1523099999999999</v>
      </c>
      <c r="BE21" s="13"/>
      <c r="BF21" s="22">
        <v>4.9504999999999999</v>
      </c>
      <c r="BG21" s="9" t="s">
        <v>26</v>
      </c>
      <c r="BH21" s="22">
        <v>0.98501000000000005</v>
      </c>
      <c r="BI21" s="22">
        <v>4.8391500000000001</v>
      </c>
      <c r="BJ21" s="13"/>
      <c r="BK21" s="9"/>
      <c r="BL21" s="9" t="s">
        <v>26</v>
      </c>
      <c r="BM21" s="9"/>
      <c r="BN21" s="22">
        <v>16.891999999999999</v>
      </c>
      <c r="BO21" s="13"/>
      <c r="BP21" s="22">
        <v>0.58948999999999996</v>
      </c>
      <c r="BQ21" s="9" t="s">
        <v>26</v>
      </c>
      <c r="BR21" s="22">
        <v>0.10448</v>
      </c>
      <c r="BS21" s="22">
        <v>0.58362099999999995</v>
      </c>
      <c r="BT21" s="13"/>
      <c r="BU21" s="9"/>
      <c r="BV21" s="9" t="s">
        <v>26</v>
      </c>
      <c r="BW21" s="9"/>
      <c r="BX21" s="23">
        <v>11.3765</v>
      </c>
    </row>
    <row r="22" spans="1:76" ht="15" thickBot="1" x14ac:dyDescent="0.4">
      <c r="A22" s="13" t="s">
        <v>85</v>
      </c>
      <c r="B22" s="13" t="s">
        <v>42</v>
      </c>
      <c r="C22" s="13" t="s">
        <v>76</v>
      </c>
      <c r="D22" s="13">
        <v>6.3702999999999996E-2</v>
      </c>
      <c r="E22" s="21">
        <v>44845</v>
      </c>
      <c r="F22" s="13">
        <v>1.1424305555555556</v>
      </c>
      <c r="G22" s="11"/>
      <c r="H22" s="18">
        <v>84.682000000000002</v>
      </c>
      <c r="I22" s="10" t="s">
        <v>26</v>
      </c>
      <c r="J22" s="18">
        <v>8.6844000000000001</v>
      </c>
      <c r="K22" s="18">
        <v>8.8117400000000004</v>
      </c>
      <c r="L22" s="11"/>
      <c r="M22" s="18">
        <v>30.841999999999999</v>
      </c>
      <c r="N22" s="10" t="s">
        <v>26</v>
      </c>
      <c r="O22" s="18">
        <v>1.8891</v>
      </c>
      <c r="P22" s="18">
        <v>10.847</v>
      </c>
      <c r="Q22" s="11"/>
      <c r="R22" s="10"/>
      <c r="S22" s="10" t="s">
        <v>26</v>
      </c>
      <c r="T22" s="10"/>
      <c r="U22" s="18">
        <v>1.2194400000000001</v>
      </c>
      <c r="V22" s="11"/>
      <c r="W22" s="10"/>
      <c r="X22" s="10" t="s">
        <v>26</v>
      </c>
      <c r="Y22" s="10"/>
      <c r="Z22" s="18">
        <v>0.66068300000000002</v>
      </c>
      <c r="AA22" s="11"/>
      <c r="AB22" s="10"/>
      <c r="AC22" s="10" t="s">
        <v>26</v>
      </c>
      <c r="AD22" s="10"/>
      <c r="AE22" s="18">
        <v>2.6065800000000001</v>
      </c>
      <c r="AF22" s="11"/>
      <c r="AG22" s="18">
        <v>3.0419999999999998</v>
      </c>
      <c r="AH22" s="10" t="s">
        <v>26</v>
      </c>
      <c r="AI22" s="18">
        <v>0.20266999999999999</v>
      </c>
      <c r="AJ22" s="18">
        <v>0.72657300000000002</v>
      </c>
      <c r="AK22" s="11"/>
      <c r="AL22" s="10"/>
      <c r="AM22" s="10" t="s">
        <v>26</v>
      </c>
      <c r="AN22" s="10"/>
      <c r="AO22" s="18">
        <v>8.7113200000000006</v>
      </c>
      <c r="AP22" s="11"/>
      <c r="AQ22" s="18">
        <v>2.3243</v>
      </c>
      <c r="AR22" s="10" t="s">
        <v>26</v>
      </c>
      <c r="AS22" s="18">
        <v>1.0668</v>
      </c>
      <c r="AT22" s="18">
        <v>1.96523</v>
      </c>
      <c r="AU22" s="11"/>
      <c r="AV22" s="10"/>
      <c r="AW22" s="10" t="s">
        <v>26</v>
      </c>
      <c r="AX22" s="10"/>
      <c r="AY22" s="10"/>
      <c r="AZ22" s="11"/>
      <c r="BA22" s="18">
        <v>1.6924999999999999</v>
      </c>
      <c r="BB22" s="10" t="s">
        <v>26</v>
      </c>
      <c r="BC22" s="18">
        <v>0.49125999999999997</v>
      </c>
      <c r="BD22" s="18">
        <v>2.2069999999999999</v>
      </c>
      <c r="BE22" s="11"/>
      <c r="BF22" s="18">
        <v>2.6073</v>
      </c>
      <c r="BG22" s="10" t="s">
        <v>26</v>
      </c>
      <c r="BH22" s="18">
        <v>0.98623000000000005</v>
      </c>
      <c r="BI22" s="18">
        <v>4.9915399999999996</v>
      </c>
      <c r="BJ22" s="11"/>
      <c r="BK22" s="10"/>
      <c r="BL22" s="10" t="s">
        <v>26</v>
      </c>
      <c r="BM22" s="10"/>
      <c r="BN22" s="18">
        <v>16.996300000000002</v>
      </c>
      <c r="BO22" s="11"/>
      <c r="BP22" s="18">
        <v>1.2496</v>
      </c>
      <c r="BQ22" s="10" t="s">
        <v>26</v>
      </c>
      <c r="BR22" s="18">
        <v>0.12216</v>
      </c>
      <c r="BS22" s="18">
        <v>0.72672899999999996</v>
      </c>
      <c r="BT22" s="11"/>
      <c r="BU22" s="18">
        <v>10.656000000000001</v>
      </c>
      <c r="BV22" s="10" t="s">
        <v>26</v>
      </c>
      <c r="BW22" s="18">
        <v>1.4011</v>
      </c>
      <c r="BX22" s="19">
        <v>11.594900000000001</v>
      </c>
    </row>
    <row r="23" spans="1:76" ht="15" thickBot="1" x14ac:dyDescent="0.4">
      <c r="A23" s="10" t="s">
        <v>86</v>
      </c>
      <c r="B23" s="11" t="s">
        <v>42</v>
      </c>
      <c r="C23" s="11" t="s">
        <v>76</v>
      </c>
      <c r="D23" s="11">
        <v>6.8473999999999993E-2</v>
      </c>
      <c r="E23" s="20">
        <v>44846</v>
      </c>
      <c r="F23" s="11">
        <v>1.0022106481481481</v>
      </c>
      <c r="G23" s="14"/>
      <c r="H23" s="16">
        <v>48.890999999999998</v>
      </c>
      <c r="I23" s="15" t="s">
        <v>26</v>
      </c>
      <c r="J23" s="16">
        <v>5.9135</v>
      </c>
      <c r="K23" s="16">
        <v>9.3761500000000009</v>
      </c>
      <c r="L23" s="14"/>
      <c r="M23" s="16">
        <v>20.427</v>
      </c>
      <c r="N23" s="15" t="s">
        <v>26</v>
      </c>
      <c r="O23" s="16">
        <v>1.7148000000000001</v>
      </c>
      <c r="P23" s="16">
        <v>11.8262</v>
      </c>
      <c r="Q23" s="14"/>
      <c r="R23" s="15"/>
      <c r="S23" s="15" t="s">
        <v>26</v>
      </c>
      <c r="T23" s="15"/>
      <c r="U23" s="16">
        <v>1.23516</v>
      </c>
      <c r="V23" s="14"/>
      <c r="W23" s="15"/>
      <c r="X23" s="15" t="s">
        <v>26</v>
      </c>
      <c r="Y23" s="15"/>
      <c r="Z23" s="16">
        <v>0.63587099999999996</v>
      </c>
      <c r="AA23" s="14"/>
      <c r="AB23" s="16">
        <v>1.4191</v>
      </c>
      <c r="AC23" s="15" t="s">
        <v>26</v>
      </c>
      <c r="AD23" s="16">
        <v>0.28122000000000003</v>
      </c>
      <c r="AE23" s="16">
        <v>1.10694</v>
      </c>
      <c r="AF23" s="14"/>
      <c r="AG23" s="16">
        <v>2.5363000000000002</v>
      </c>
      <c r="AH23" s="15" t="s">
        <v>26</v>
      </c>
      <c r="AI23" s="16">
        <v>0.18773999999999999</v>
      </c>
      <c r="AJ23" s="16">
        <v>0.722167</v>
      </c>
      <c r="AK23" s="14"/>
      <c r="AL23" s="15"/>
      <c r="AM23" s="15" t="s">
        <v>26</v>
      </c>
      <c r="AN23" s="15"/>
      <c r="AO23" s="16">
        <v>8.7275700000000001</v>
      </c>
      <c r="AP23" s="14"/>
      <c r="AQ23" s="16">
        <v>6.0987</v>
      </c>
      <c r="AR23" s="15" t="s">
        <v>26</v>
      </c>
      <c r="AS23" s="16">
        <v>2.0706000000000002</v>
      </c>
      <c r="AT23" s="16">
        <v>2.03939</v>
      </c>
      <c r="AU23" s="14"/>
      <c r="AV23" s="15"/>
      <c r="AW23" s="15" t="s">
        <v>26</v>
      </c>
      <c r="AX23" s="15"/>
      <c r="AY23" s="15"/>
      <c r="AZ23" s="14"/>
      <c r="BA23" s="16">
        <v>4.7751999999999999</v>
      </c>
      <c r="BB23" s="15" t="s">
        <v>26</v>
      </c>
      <c r="BC23" s="16">
        <v>0.99387000000000003</v>
      </c>
      <c r="BD23" s="16">
        <v>2.1341000000000001</v>
      </c>
      <c r="BE23" s="14"/>
      <c r="BF23" s="16">
        <v>2.9064000000000001</v>
      </c>
      <c r="BG23" s="15" t="s">
        <v>26</v>
      </c>
      <c r="BH23" s="16">
        <v>0.99782000000000004</v>
      </c>
      <c r="BI23" s="16">
        <v>4.9207599999999996</v>
      </c>
      <c r="BJ23" s="14"/>
      <c r="BK23" s="16">
        <v>22.35</v>
      </c>
      <c r="BL23" s="15" t="s">
        <v>26</v>
      </c>
      <c r="BM23" s="16">
        <v>10.499000000000001</v>
      </c>
      <c r="BN23" s="16">
        <v>16.522200000000002</v>
      </c>
      <c r="BO23" s="14"/>
      <c r="BP23" s="16">
        <v>0.88931000000000004</v>
      </c>
      <c r="BQ23" s="15" t="s">
        <v>26</v>
      </c>
      <c r="BR23" s="16">
        <v>0.11545</v>
      </c>
      <c r="BS23" s="16">
        <v>0.66665300000000005</v>
      </c>
      <c r="BT23" s="14"/>
      <c r="BU23" s="16">
        <v>16.361999999999998</v>
      </c>
      <c r="BV23" s="15" t="s">
        <v>26</v>
      </c>
      <c r="BW23" s="16">
        <v>6.3933999999999997</v>
      </c>
      <c r="BX23" s="17">
        <v>11.8467</v>
      </c>
    </row>
    <row r="24" spans="1:76" ht="15" thickBot="1" x14ac:dyDescent="0.4">
      <c r="A24" s="13" t="s">
        <v>87</v>
      </c>
      <c r="B24" s="13" t="s">
        <v>48</v>
      </c>
      <c r="C24" s="13"/>
      <c r="D24" s="25">
        <v>6.4813999999999997E-2</v>
      </c>
      <c r="E24" s="21">
        <v>44831</v>
      </c>
      <c r="F24" s="13">
        <v>1.7662615740740739</v>
      </c>
      <c r="G24" s="25">
        <v>98.878</v>
      </c>
      <c r="H24" s="9" t="s">
        <v>88</v>
      </c>
      <c r="I24" s="9" t="s">
        <v>26</v>
      </c>
      <c r="J24" s="22">
        <v>1.129</v>
      </c>
      <c r="K24" s="9">
        <v>22.371709815780541</v>
      </c>
      <c r="L24" s="25">
        <v>26.52</v>
      </c>
      <c r="M24" s="9" t="s">
        <v>88</v>
      </c>
      <c r="N24" s="9" t="s">
        <v>26</v>
      </c>
      <c r="O24" s="22">
        <v>0.33400000000000002</v>
      </c>
      <c r="P24" s="9">
        <v>28.08035301015213</v>
      </c>
      <c r="Q24" s="13"/>
      <c r="R24" s="9"/>
      <c r="S24" s="9"/>
      <c r="T24" s="9" t="s">
        <v>49</v>
      </c>
      <c r="U24" s="22">
        <v>0.14646999999999999</v>
      </c>
      <c r="V24" s="13"/>
      <c r="W24" s="9"/>
      <c r="X24" s="9"/>
      <c r="Y24" s="9" t="s">
        <v>49</v>
      </c>
      <c r="Z24" s="22">
        <v>8.7958999999999996E-2</v>
      </c>
      <c r="AA24" s="13"/>
      <c r="AB24" s="9"/>
      <c r="AC24" s="9" t="s">
        <v>26</v>
      </c>
      <c r="AD24" s="9"/>
      <c r="AE24" s="9">
        <v>0</v>
      </c>
      <c r="AF24" s="25">
        <v>4.3299000000000003</v>
      </c>
      <c r="AG24" s="9" t="s">
        <v>88</v>
      </c>
      <c r="AH24" s="9" t="s">
        <v>26</v>
      </c>
      <c r="AI24" s="22">
        <v>7.5889999999999999E-2</v>
      </c>
      <c r="AJ24" s="9">
        <v>3.1952973123090693</v>
      </c>
      <c r="AK24" s="25">
        <v>7.1192000000000002</v>
      </c>
      <c r="AL24" s="9" t="s">
        <v>88</v>
      </c>
      <c r="AM24" s="9" t="s">
        <v>26</v>
      </c>
      <c r="AN24" s="22">
        <v>7.8700000000000006E-2</v>
      </c>
      <c r="AO24" s="9">
        <v>28.250069429444256</v>
      </c>
      <c r="AP24" s="25">
        <v>13.965999999999999</v>
      </c>
      <c r="AQ24" s="9" t="s">
        <v>88</v>
      </c>
      <c r="AR24" s="9" t="s">
        <v>26</v>
      </c>
      <c r="AS24" s="22">
        <v>1.719E-2</v>
      </c>
      <c r="AT24" s="9">
        <v>6.1807634153115076</v>
      </c>
      <c r="AU24" s="25">
        <v>12.897</v>
      </c>
      <c r="AV24" s="9" t="s">
        <v>88</v>
      </c>
      <c r="AW24" s="9" t="s">
        <v>26</v>
      </c>
      <c r="AX24" s="22">
        <v>1.6279999999999999E-2</v>
      </c>
      <c r="AY24" s="9">
        <v>11.171969019039096</v>
      </c>
      <c r="AZ24" s="13"/>
      <c r="BA24" s="9"/>
      <c r="BB24" s="9" t="s">
        <v>26</v>
      </c>
      <c r="BC24" s="9"/>
      <c r="BD24" s="9">
        <v>5.3506958373190976</v>
      </c>
      <c r="BE24" s="13"/>
      <c r="BF24" s="9"/>
      <c r="BG24" s="9" t="s">
        <v>26</v>
      </c>
      <c r="BH24" s="9"/>
      <c r="BI24" s="9">
        <v>26.676335359644526</v>
      </c>
      <c r="BJ24" s="25">
        <v>7.8278999999999996</v>
      </c>
      <c r="BK24" s="9" t="s">
        <v>88</v>
      </c>
      <c r="BL24" s="9" t="s">
        <v>26</v>
      </c>
      <c r="BM24" s="22">
        <v>0.35599999999999998</v>
      </c>
      <c r="BN24" s="9">
        <v>43.169685561761348</v>
      </c>
      <c r="BO24" s="25">
        <v>2.2761999999999998</v>
      </c>
      <c r="BP24" s="9" t="s">
        <v>88</v>
      </c>
      <c r="BQ24" s="9" t="s">
        <v>26</v>
      </c>
      <c r="BR24" s="22">
        <v>2.4109999999999999E-2</v>
      </c>
      <c r="BS24" s="9">
        <v>2.5658036843891754</v>
      </c>
      <c r="BT24" s="25">
        <v>17.771999999999998</v>
      </c>
      <c r="BU24" s="9" t="s">
        <v>88</v>
      </c>
      <c r="BV24" s="9" t="s">
        <v>26</v>
      </c>
      <c r="BW24" s="22">
        <v>0.92330000000000001</v>
      </c>
      <c r="BX24" s="12">
        <v>25.750609436232914</v>
      </c>
    </row>
    <row r="25" spans="1:76" ht="15" thickBot="1" x14ac:dyDescent="0.4">
      <c r="A25" s="13" t="s">
        <v>89</v>
      </c>
      <c r="B25" s="13" t="s">
        <v>48</v>
      </c>
      <c r="C25" s="13"/>
      <c r="D25" s="25">
        <v>6.3771999999999995E-2</v>
      </c>
      <c r="E25" s="21">
        <v>44833</v>
      </c>
      <c r="F25" s="13">
        <v>1.1980324074074076</v>
      </c>
      <c r="G25" s="25">
        <v>94.554000000000002</v>
      </c>
      <c r="H25" s="9" t="s">
        <v>88</v>
      </c>
      <c r="I25" s="9" t="s">
        <v>26</v>
      </c>
      <c r="J25" s="22">
        <v>0.33100000000000002</v>
      </c>
      <c r="K25" s="9">
        <v>30.248384871103308</v>
      </c>
      <c r="L25" s="25">
        <v>28.634</v>
      </c>
      <c r="M25" s="9" t="s">
        <v>88</v>
      </c>
      <c r="N25" s="9" t="s">
        <v>26</v>
      </c>
      <c r="O25" s="22">
        <v>0.6391</v>
      </c>
      <c r="P25" s="9">
        <v>32.851408141504116</v>
      </c>
      <c r="Q25" s="13"/>
      <c r="R25" s="9"/>
      <c r="S25" s="9"/>
      <c r="T25" s="9" t="s">
        <v>49</v>
      </c>
      <c r="U25" s="22">
        <v>0.20183999999999999</v>
      </c>
      <c r="V25" s="13"/>
      <c r="W25" s="9"/>
      <c r="X25" s="9"/>
      <c r="Y25" s="9" t="s">
        <v>49</v>
      </c>
      <c r="Z25" s="22">
        <v>0.10718999999999999</v>
      </c>
      <c r="AA25" s="13"/>
      <c r="AB25" s="9"/>
      <c r="AC25" s="9" t="s">
        <v>26</v>
      </c>
      <c r="AD25" s="9"/>
      <c r="AE25" s="9">
        <v>0</v>
      </c>
      <c r="AF25" s="25">
        <v>4.5876999999999999</v>
      </c>
      <c r="AG25" s="9" t="s">
        <v>88</v>
      </c>
      <c r="AH25" s="9" t="s">
        <v>26</v>
      </c>
      <c r="AI25" s="22">
        <v>1.9099999999999999E-2</v>
      </c>
      <c r="AJ25" s="9">
        <v>3.9029668192937343</v>
      </c>
      <c r="AK25" s="25">
        <v>9.8952000000000009</v>
      </c>
      <c r="AL25" s="9" t="s">
        <v>88</v>
      </c>
      <c r="AM25" s="9" t="s">
        <v>26</v>
      </c>
      <c r="AN25" s="22">
        <v>0.39040000000000002</v>
      </c>
      <c r="AO25" s="9">
        <v>32.50642915386063</v>
      </c>
      <c r="AP25" s="25">
        <v>13.7</v>
      </c>
      <c r="AQ25" s="9" t="s">
        <v>88</v>
      </c>
      <c r="AR25" s="9" t="s">
        <v>26</v>
      </c>
      <c r="AS25" s="22">
        <v>2.5319999999999999E-2</v>
      </c>
      <c r="AT25" s="9">
        <v>7.7620272219782978</v>
      </c>
      <c r="AU25" s="25">
        <v>13.009</v>
      </c>
      <c r="AV25" s="9" t="s">
        <v>88</v>
      </c>
      <c r="AW25" s="9" t="s">
        <v>26</v>
      </c>
      <c r="AX25" s="22">
        <v>5.2500000000000003E-3</v>
      </c>
      <c r="AY25" s="9">
        <v>14.329172677664179</v>
      </c>
      <c r="AZ25" s="13"/>
      <c r="BA25" s="9"/>
      <c r="BB25" s="9" t="s">
        <v>26</v>
      </c>
      <c r="BC25" s="9"/>
      <c r="BD25" s="9">
        <v>6.654958288904222</v>
      </c>
      <c r="BE25" s="13"/>
      <c r="BF25" s="9"/>
      <c r="BG25" s="9" t="s">
        <v>26</v>
      </c>
      <c r="BH25" s="9"/>
      <c r="BI25" s="9">
        <v>34.5292604904974</v>
      </c>
      <c r="BJ25" s="25">
        <v>14.510999999999999</v>
      </c>
      <c r="BK25" s="9" t="s">
        <v>88</v>
      </c>
      <c r="BL25" s="9" t="s">
        <v>26</v>
      </c>
      <c r="BM25" s="22">
        <v>0.96840000000000004</v>
      </c>
      <c r="BN25" s="9">
        <v>48.453866900834221</v>
      </c>
      <c r="BO25" s="25">
        <v>2.0865</v>
      </c>
      <c r="BP25" s="9" t="s">
        <v>88</v>
      </c>
      <c r="BQ25" s="9" t="s">
        <v>26</v>
      </c>
      <c r="BR25" s="22">
        <v>9.7999999999999997E-4</v>
      </c>
      <c r="BS25" s="9">
        <v>3.5658282631876062</v>
      </c>
      <c r="BT25" s="25">
        <v>17.643999999999998</v>
      </c>
      <c r="BU25" s="9" t="s">
        <v>88</v>
      </c>
      <c r="BV25" s="9" t="s">
        <v>26</v>
      </c>
      <c r="BW25" s="22">
        <v>0.50619999999999998</v>
      </c>
      <c r="BX25" s="12">
        <v>33.43160007526815</v>
      </c>
    </row>
    <row r="26" spans="1:76" ht="15" thickBot="1" x14ac:dyDescent="0.4">
      <c r="A26" s="13" t="s">
        <v>90</v>
      </c>
      <c r="B26" s="13" t="s">
        <v>48</v>
      </c>
      <c r="C26" s="13"/>
      <c r="D26" s="25">
        <v>6.4829999999999999E-2</v>
      </c>
      <c r="E26" s="21">
        <v>44830</v>
      </c>
      <c r="F26" s="13">
        <v>1.0014930555555557</v>
      </c>
      <c r="G26" s="25">
        <v>76.89</v>
      </c>
      <c r="H26" s="9" t="s">
        <v>88</v>
      </c>
      <c r="I26" s="9" t="s">
        <v>26</v>
      </c>
      <c r="J26" s="22">
        <v>6.6150000000000002</v>
      </c>
      <c r="K26" s="9">
        <v>35.292302946166899</v>
      </c>
      <c r="L26" s="25">
        <v>36.292000000000002</v>
      </c>
      <c r="M26" s="9" t="s">
        <v>88</v>
      </c>
      <c r="N26" s="9" t="s">
        <v>26</v>
      </c>
      <c r="O26" s="22">
        <v>4.3E-3</v>
      </c>
      <c r="P26" s="9">
        <v>34.844979176307262</v>
      </c>
      <c r="Q26" s="13"/>
      <c r="R26" s="9"/>
      <c r="S26" s="9"/>
      <c r="T26" s="9" t="s">
        <v>49</v>
      </c>
      <c r="U26" s="22">
        <v>0.13991000000000001</v>
      </c>
      <c r="V26" s="25">
        <v>0.21476999999999999</v>
      </c>
      <c r="W26" s="9" t="s">
        <v>88</v>
      </c>
      <c r="X26" s="9" t="s">
        <v>26</v>
      </c>
      <c r="Y26" s="22">
        <v>7.4389999999999998E-2</v>
      </c>
      <c r="Z26" s="9">
        <v>2.7101650470461207</v>
      </c>
      <c r="AA26" s="13"/>
      <c r="AB26" s="9"/>
      <c r="AC26" s="9" t="s">
        <v>26</v>
      </c>
      <c r="AD26" s="9"/>
      <c r="AE26" s="9">
        <v>0</v>
      </c>
      <c r="AF26" s="25">
        <v>4.6562999999999999</v>
      </c>
      <c r="AG26" s="9" t="s">
        <v>88</v>
      </c>
      <c r="AH26" s="9" t="s">
        <v>26</v>
      </c>
      <c r="AI26" s="22">
        <v>4.1549999999999997E-2</v>
      </c>
      <c r="AJ26" s="9">
        <v>4.2248958815363258</v>
      </c>
      <c r="AK26" s="25">
        <v>8.7296999999999993</v>
      </c>
      <c r="AL26" s="9" t="s">
        <v>88</v>
      </c>
      <c r="AM26" s="9" t="s">
        <v>26</v>
      </c>
      <c r="AN26" s="22">
        <v>0.8024</v>
      </c>
      <c r="AO26" s="9">
        <v>37.12787289834953</v>
      </c>
      <c r="AP26" s="25">
        <v>13.779</v>
      </c>
      <c r="AQ26" s="9" t="s">
        <v>88</v>
      </c>
      <c r="AR26" s="9" t="s">
        <v>26</v>
      </c>
      <c r="AS26" s="22">
        <v>2.2460000000000001E-2</v>
      </c>
      <c r="AT26" s="9">
        <v>7.6785438840043199</v>
      </c>
      <c r="AU26" s="25">
        <v>12.714</v>
      </c>
      <c r="AV26" s="9" t="s">
        <v>88</v>
      </c>
      <c r="AW26" s="9" t="s">
        <v>26</v>
      </c>
      <c r="AX26" s="22">
        <v>8.7470000000000006E-2</v>
      </c>
      <c r="AY26" s="9">
        <v>16.504704612062319</v>
      </c>
      <c r="AZ26" s="13"/>
      <c r="BA26" s="9"/>
      <c r="BB26" s="9" t="s">
        <v>26</v>
      </c>
      <c r="BC26" s="9"/>
      <c r="BD26" s="9">
        <v>7.4610519821070493</v>
      </c>
      <c r="BE26" s="13"/>
      <c r="BF26" s="9"/>
      <c r="BG26" s="9" t="s">
        <v>26</v>
      </c>
      <c r="BH26" s="9"/>
      <c r="BI26" s="9">
        <v>36.186950485886165</v>
      </c>
      <c r="BJ26" s="25">
        <v>9.9832999999999998</v>
      </c>
      <c r="BK26" s="9" t="s">
        <v>88</v>
      </c>
      <c r="BL26" s="9" t="s">
        <v>26</v>
      </c>
      <c r="BM26" s="22">
        <v>0.69540000000000002</v>
      </c>
      <c r="BN26" s="9">
        <v>60.558383464445477</v>
      </c>
      <c r="BO26" s="25">
        <v>2.2206999999999999</v>
      </c>
      <c r="BP26" s="9" t="s">
        <v>88</v>
      </c>
      <c r="BQ26" s="9" t="s">
        <v>26</v>
      </c>
      <c r="BR26" s="22">
        <v>8.7040000000000006E-2</v>
      </c>
      <c r="BS26" s="9">
        <v>3.4875829091469996</v>
      </c>
      <c r="BT26" s="25">
        <v>17.338000000000001</v>
      </c>
      <c r="BU26" s="9" t="s">
        <v>88</v>
      </c>
      <c r="BV26" s="9" t="s">
        <v>26</v>
      </c>
      <c r="BW26" s="22">
        <v>0.31369999999999998</v>
      </c>
      <c r="BX26" s="12">
        <v>31.821687490359405</v>
      </c>
    </row>
    <row r="27" spans="1:76" ht="15" thickBot="1" x14ac:dyDescent="0.4">
      <c r="A27" s="13" t="s">
        <v>91</v>
      </c>
      <c r="B27" s="13" t="s">
        <v>48</v>
      </c>
      <c r="C27" s="13"/>
      <c r="D27" s="25">
        <v>7.1568999999999994E-2</v>
      </c>
      <c r="E27" s="21">
        <v>44834</v>
      </c>
      <c r="F27" s="13">
        <v>3.6369675925925926</v>
      </c>
      <c r="G27" s="25">
        <v>94.891999999999996</v>
      </c>
      <c r="H27" s="9" t="s">
        <v>88</v>
      </c>
      <c r="I27" s="9" t="s">
        <v>26</v>
      </c>
      <c r="J27" s="22">
        <v>0.18</v>
      </c>
      <c r="K27" s="9">
        <v>13.220807891684949</v>
      </c>
      <c r="L27" s="25">
        <v>18.379000000000001</v>
      </c>
      <c r="M27" s="9" t="s">
        <v>88</v>
      </c>
      <c r="N27" s="9" t="s">
        <v>26</v>
      </c>
      <c r="O27" s="22">
        <v>0.43669999999999998</v>
      </c>
      <c r="P27" s="9">
        <v>15.747041316771229</v>
      </c>
      <c r="Q27" s="13"/>
      <c r="R27" s="9"/>
      <c r="S27" s="9"/>
      <c r="T27" s="9" t="s">
        <v>49</v>
      </c>
      <c r="U27" s="22">
        <v>9.2594999999999997E-2</v>
      </c>
      <c r="V27" s="25"/>
      <c r="W27" s="9"/>
      <c r="X27" s="9"/>
      <c r="Y27" s="22" t="s">
        <v>49</v>
      </c>
      <c r="Z27" s="22">
        <v>6.9001999999999994E-2</v>
      </c>
      <c r="AA27" s="13"/>
      <c r="AB27" s="9"/>
      <c r="AC27" s="9" t="s">
        <v>26</v>
      </c>
      <c r="AD27" s="9"/>
      <c r="AE27" s="9">
        <v>0</v>
      </c>
      <c r="AF27" s="25">
        <v>4.0785999999999998</v>
      </c>
      <c r="AG27" s="9" t="s">
        <v>88</v>
      </c>
      <c r="AH27" s="9" t="s">
        <v>26</v>
      </c>
      <c r="AI27" s="22">
        <v>1.4449999999999999E-2</v>
      </c>
      <c r="AJ27" s="9">
        <v>1.8457712137936817</v>
      </c>
      <c r="AK27" s="25">
        <v>6.0435999999999996</v>
      </c>
      <c r="AL27" s="9" t="s">
        <v>88</v>
      </c>
      <c r="AM27" s="9" t="s">
        <v>26</v>
      </c>
      <c r="AN27" s="22">
        <v>0.21299999999999999</v>
      </c>
      <c r="AO27" s="9">
        <v>15.299920356578967</v>
      </c>
      <c r="AP27" s="25">
        <v>12.445</v>
      </c>
      <c r="AQ27" s="9" t="s">
        <v>88</v>
      </c>
      <c r="AR27" s="9" t="s">
        <v>26</v>
      </c>
      <c r="AS27" s="22">
        <v>3.0000000000000001E-3</v>
      </c>
      <c r="AT27" s="9">
        <v>3.3939275384593892</v>
      </c>
      <c r="AU27" s="25">
        <v>11.622</v>
      </c>
      <c r="AV27" s="9" t="s">
        <v>88</v>
      </c>
      <c r="AW27" s="9" t="s">
        <v>26</v>
      </c>
      <c r="AX27" s="22">
        <v>6.6189999999999999E-2</v>
      </c>
      <c r="AY27" s="9">
        <v>6.4511171037739805</v>
      </c>
      <c r="AZ27" s="13"/>
      <c r="BA27" s="9"/>
      <c r="BB27" s="9" t="s">
        <v>26</v>
      </c>
      <c r="BC27" s="9"/>
      <c r="BD27" s="9">
        <v>3.1675725523620568</v>
      </c>
      <c r="BE27" s="13"/>
      <c r="BF27" s="9"/>
      <c r="BG27" s="9" t="s">
        <v>26</v>
      </c>
      <c r="BH27" s="9"/>
      <c r="BI27" s="9">
        <v>15.551425896687114</v>
      </c>
      <c r="BJ27" s="25">
        <v>10.271000000000001</v>
      </c>
      <c r="BK27" s="9" t="s">
        <v>88</v>
      </c>
      <c r="BL27" s="9" t="s">
        <v>26</v>
      </c>
      <c r="BM27" s="22">
        <v>9.8699999999999996E-2</v>
      </c>
      <c r="BN27" s="9">
        <v>23.795218600231948</v>
      </c>
      <c r="BO27" s="25">
        <v>1.6980999999999999</v>
      </c>
      <c r="BP27" s="9" t="s">
        <v>88</v>
      </c>
      <c r="BQ27" s="9" t="s">
        <v>26</v>
      </c>
      <c r="BR27" s="22">
        <v>5.9740000000000001E-2</v>
      </c>
      <c r="BS27" s="9">
        <v>1.6291969987005548</v>
      </c>
      <c r="BT27" s="25">
        <v>15.129</v>
      </c>
      <c r="BU27" s="9" t="s">
        <v>88</v>
      </c>
      <c r="BV27" s="9" t="s">
        <v>26</v>
      </c>
      <c r="BW27" s="22">
        <v>0.2848</v>
      </c>
      <c r="BX27" s="12">
        <v>15.118277466500862</v>
      </c>
    </row>
    <row r="28" spans="1:76" ht="15" thickBot="1" x14ac:dyDescent="0.4">
      <c r="A28" s="13" t="s">
        <v>92</v>
      </c>
      <c r="B28" s="13" t="s">
        <v>48</v>
      </c>
      <c r="C28" s="13"/>
      <c r="D28" s="25">
        <v>6.8999000000000005E-2</v>
      </c>
      <c r="E28" s="21">
        <v>44838</v>
      </c>
      <c r="F28" s="13">
        <v>1.0493634259259259</v>
      </c>
      <c r="G28" s="25">
        <v>89.525000000000006</v>
      </c>
      <c r="H28" s="9" t="s">
        <v>88</v>
      </c>
      <c r="I28" s="9" t="s">
        <v>26</v>
      </c>
      <c r="J28" s="22">
        <v>9.3309999999999995</v>
      </c>
      <c r="K28" s="9">
        <v>29.493181060595081</v>
      </c>
      <c r="L28" s="25">
        <v>29.273</v>
      </c>
      <c r="M28" s="9" t="s">
        <v>88</v>
      </c>
      <c r="N28" s="9" t="s">
        <v>26</v>
      </c>
      <c r="O28" s="22">
        <v>0.78769999999999996</v>
      </c>
      <c r="P28" s="9">
        <v>31.290308555196447</v>
      </c>
      <c r="Q28" s="13"/>
      <c r="R28" s="9"/>
      <c r="S28" s="9"/>
      <c r="T28" s="9" t="s">
        <v>49</v>
      </c>
      <c r="U28" s="22">
        <v>0.19692000000000001</v>
      </c>
      <c r="V28" s="13"/>
      <c r="W28" s="9"/>
      <c r="X28" s="9"/>
      <c r="Y28" s="9" t="s">
        <v>49</v>
      </c>
      <c r="Z28" s="22">
        <v>9.8905000000000007E-2</v>
      </c>
      <c r="AA28" s="13"/>
      <c r="AB28" s="9"/>
      <c r="AC28" s="9" t="s">
        <v>26</v>
      </c>
      <c r="AD28" s="9"/>
      <c r="AE28" s="9">
        <v>0</v>
      </c>
      <c r="AF28" s="25">
        <v>4.4212999999999996</v>
      </c>
      <c r="AG28" s="9" t="s">
        <v>88</v>
      </c>
      <c r="AH28" s="9" t="s">
        <v>26</v>
      </c>
      <c r="AI28" s="22">
        <v>1.2E-2</v>
      </c>
      <c r="AJ28" s="9">
        <v>3.5130943926723575</v>
      </c>
      <c r="AK28" s="25"/>
      <c r="AL28" s="9"/>
      <c r="AM28" s="9"/>
      <c r="AN28" s="22" t="s">
        <v>49</v>
      </c>
      <c r="AO28" s="22">
        <v>1.2253000000000001</v>
      </c>
      <c r="AP28" s="25">
        <v>12.874000000000001</v>
      </c>
      <c r="AQ28" s="9" t="s">
        <v>88</v>
      </c>
      <c r="AR28" s="9" t="s">
        <v>26</v>
      </c>
      <c r="AS28" s="22">
        <v>8.1439999999999999E-2</v>
      </c>
      <c r="AT28" s="9">
        <v>5.6363135697618807</v>
      </c>
      <c r="AU28" s="25">
        <v>11.874000000000001</v>
      </c>
      <c r="AV28" s="9" t="s">
        <v>88</v>
      </c>
      <c r="AW28" s="9" t="s">
        <v>26</v>
      </c>
      <c r="AX28" s="22">
        <v>5.4760000000000003E-2</v>
      </c>
      <c r="AY28" s="9">
        <v>14.579921448136929</v>
      </c>
      <c r="AZ28" s="13"/>
      <c r="BA28" s="9"/>
      <c r="BB28" s="9" t="s">
        <v>26</v>
      </c>
      <c r="BC28" s="9"/>
      <c r="BD28" s="9">
        <v>5.7203727590254925</v>
      </c>
      <c r="BE28" s="13"/>
      <c r="BF28" s="9"/>
      <c r="BG28" s="9" t="s">
        <v>26</v>
      </c>
      <c r="BH28" s="9"/>
      <c r="BI28" s="9">
        <v>31.667125610516091</v>
      </c>
      <c r="BJ28" s="25">
        <v>13.289</v>
      </c>
      <c r="BK28" s="9" t="s">
        <v>88</v>
      </c>
      <c r="BL28" s="9" t="s">
        <v>26</v>
      </c>
      <c r="BM28" s="22">
        <v>6.1199999999999997E-2</v>
      </c>
      <c r="BN28" s="9">
        <v>46.218061131320738</v>
      </c>
      <c r="BO28" s="25">
        <v>1.9818</v>
      </c>
      <c r="BP28" s="9" t="s">
        <v>88</v>
      </c>
      <c r="BQ28" s="9" t="s">
        <v>26</v>
      </c>
      <c r="BR28" s="22">
        <v>4.2500000000000003E-2</v>
      </c>
      <c r="BS28" s="9">
        <v>2.7261264656009505</v>
      </c>
      <c r="BT28" s="25">
        <v>19.358000000000001</v>
      </c>
      <c r="BU28" s="9" t="s">
        <v>88</v>
      </c>
      <c r="BV28" s="9" t="s">
        <v>26</v>
      </c>
      <c r="BW28" s="22">
        <v>0.47420000000000001</v>
      </c>
      <c r="BX28" s="12">
        <v>30.681604081218566</v>
      </c>
    </row>
    <row r="29" spans="1:76" ht="15" thickBot="1" x14ac:dyDescent="0.4">
      <c r="A29" s="13" t="s">
        <v>93</v>
      </c>
      <c r="B29" s="13" t="s">
        <v>48</v>
      </c>
      <c r="C29" s="13"/>
      <c r="D29" s="25">
        <v>6.7622000000000002E-2</v>
      </c>
      <c r="E29" s="21">
        <v>44839</v>
      </c>
      <c r="F29" s="13">
        <v>0.97563657407407411</v>
      </c>
      <c r="G29" s="25">
        <v>105.4</v>
      </c>
      <c r="H29" s="9" t="s">
        <v>88</v>
      </c>
      <c r="I29" s="9" t="s">
        <v>26</v>
      </c>
      <c r="J29" s="22">
        <v>2.61</v>
      </c>
      <c r="K29" s="9">
        <v>24.104581349265029</v>
      </c>
      <c r="L29" s="25">
        <v>33.723999999999997</v>
      </c>
      <c r="M29" s="9" t="s">
        <v>88</v>
      </c>
      <c r="N29" s="9" t="s">
        <v>26</v>
      </c>
      <c r="O29" s="22">
        <v>0.98240000000000005</v>
      </c>
      <c r="P29" s="9">
        <v>33.820354322557748</v>
      </c>
      <c r="Q29" s="13"/>
      <c r="R29" s="9"/>
      <c r="S29" s="9"/>
      <c r="T29" s="9" t="s">
        <v>49</v>
      </c>
      <c r="U29" s="22">
        <v>0.17404</v>
      </c>
      <c r="V29" s="13"/>
      <c r="W29" s="9"/>
      <c r="X29" s="9"/>
      <c r="Y29" s="9" t="s">
        <v>49</v>
      </c>
      <c r="Z29" s="22">
        <v>0.15842999999999999</v>
      </c>
      <c r="AA29" s="13"/>
      <c r="AB29" s="9"/>
      <c r="AC29" s="9" t="s">
        <v>26</v>
      </c>
      <c r="AD29" s="9"/>
      <c r="AE29" s="9">
        <v>0</v>
      </c>
      <c r="AF29" s="25">
        <v>4.5193000000000003</v>
      </c>
      <c r="AG29" s="9" t="s">
        <v>88</v>
      </c>
      <c r="AH29" s="9" t="s">
        <v>26</v>
      </c>
      <c r="AI29" s="22">
        <v>2.58E-2</v>
      </c>
      <c r="AJ29" s="9">
        <v>3.7739197302652978</v>
      </c>
      <c r="AK29" s="25">
        <v>13.356</v>
      </c>
      <c r="AL29" s="9" t="s">
        <v>88</v>
      </c>
      <c r="AM29" s="9" t="s">
        <v>26</v>
      </c>
      <c r="AN29" s="22">
        <v>0.94310000000000005</v>
      </c>
      <c r="AO29" s="22">
        <v>34.825944219336904</v>
      </c>
      <c r="AP29" s="25">
        <v>10.928000000000001</v>
      </c>
      <c r="AQ29" s="9" t="s">
        <v>88</v>
      </c>
      <c r="AR29" s="9" t="s">
        <v>26</v>
      </c>
      <c r="AS29" s="22">
        <v>4.5569999999999999E-2</v>
      </c>
      <c r="AT29" s="9">
        <v>7.0317352340954127</v>
      </c>
      <c r="AU29" s="25">
        <v>10.319000000000001</v>
      </c>
      <c r="AV29" s="9" t="s">
        <v>88</v>
      </c>
      <c r="AW29" s="9" t="s">
        <v>26</v>
      </c>
      <c r="AX29" s="22">
        <v>7.5730000000000006E-2</v>
      </c>
      <c r="AY29" s="9">
        <v>15.91198130785839</v>
      </c>
      <c r="AZ29" s="13"/>
      <c r="BA29" s="9"/>
      <c r="BB29" s="9" t="s">
        <v>26</v>
      </c>
      <c r="BC29" s="9"/>
      <c r="BD29" s="9">
        <v>6.4830972168820802</v>
      </c>
      <c r="BE29" s="13"/>
      <c r="BF29" s="9"/>
      <c r="BG29" s="9" t="s">
        <v>26</v>
      </c>
      <c r="BH29" s="9"/>
      <c r="BI29" s="9">
        <v>33.214042767146786</v>
      </c>
      <c r="BJ29" s="25"/>
      <c r="BK29" s="9"/>
      <c r="BL29" s="9"/>
      <c r="BM29" s="22" t="s">
        <v>49</v>
      </c>
      <c r="BN29" s="22">
        <v>3.5451999999999999</v>
      </c>
      <c r="BO29" s="25">
        <v>2.2048000000000001</v>
      </c>
      <c r="BP29" s="9" t="s">
        <v>88</v>
      </c>
      <c r="BQ29" s="9" t="s">
        <v>26</v>
      </c>
      <c r="BR29" s="22">
        <v>8.6190000000000003E-2</v>
      </c>
      <c r="BS29" s="9">
        <v>3.1868326875868798</v>
      </c>
      <c r="BT29" s="25">
        <v>18.355</v>
      </c>
      <c r="BU29" s="9" t="s">
        <v>88</v>
      </c>
      <c r="BV29" s="9" t="s">
        <v>26</v>
      </c>
      <c r="BW29" s="22">
        <v>0.81379999999999997</v>
      </c>
      <c r="BX29" s="12">
        <v>34.471030138120732</v>
      </c>
    </row>
    <row r="30" spans="1:76" ht="15" thickBot="1" x14ac:dyDescent="0.4">
      <c r="A30" s="13" t="s">
        <v>94</v>
      </c>
      <c r="B30" s="13" t="s">
        <v>48</v>
      </c>
      <c r="C30" s="13"/>
      <c r="D30" s="25">
        <v>6.7485000000000003E-2</v>
      </c>
      <c r="E30" s="21">
        <v>44840</v>
      </c>
      <c r="F30" s="13">
        <v>0.98423611111111109</v>
      </c>
      <c r="G30" s="25">
        <v>100.65</v>
      </c>
      <c r="H30" s="9" t="s">
        <v>88</v>
      </c>
      <c r="I30" s="9" t="s">
        <v>26</v>
      </c>
      <c r="J30" s="22">
        <v>1.6859999999999999</v>
      </c>
      <c r="K30" s="9">
        <v>31.82929539897755</v>
      </c>
      <c r="L30" s="25">
        <v>26.652000000000001</v>
      </c>
      <c r="M30" s="9" t="s">
        <v>88</v>
      </c>
      <c r="N30" s="9" t="s">
        <v>26</v>
      </c>
      <c r="O30" s="22">
        <v>0.443</v>
      </c>
      <c r="P30" s="9">
        <v>29.680669778469291</v>
      </c>
      <c r="Q30" s="13"/>
      <c r="R30" s="9"/>
      <c r="S30" s="9"/>
      <c r="T30" s="9" t="s">
        <v>49</v>
      </c>
      <c r="U30" s="22">
        <v>8.3269999999999997E-2</v>
      </c>
      <c r="V30" s="13"/>
      <c r="W30" s="9"/>
      <c r="X30" s="9"/>
      <c r="Y30" s="9" t="s">
        <v>49</v>
      </c>
      <c r="Z30" s="22">
        <v>0.11638999999999999</v>
      </c>
      <c r="AA30" s="13"/>
      <c r="AB30" s="9"/>
      <c r="AC30" s="9" t="s">
        <v>26</v>
      </c>
      <c r="AD30" s="9"/>
      <c r="AE30" s="9">
        <v>0</v>
      </c>
      <c r="AF30" s="25">
        <v>4.4569999999999999</v>
      </c>
      <c r="AG30" s="9" t="s">
        <v>88</v>
      </c>
      <c r="AH30" s="9" t="s">
        <v>26</v>
      </c>
      <c r="AI30" s="22">
        <v>3.0550000000000001E-2</v>
      </c>
      <c r="AJ30" s="9">
        <v>3.9564347632807291</v>
      </c>
      <c r="AK30" s="25"/>
      <c r="AL30" s="9"/>
      <c r="AM30" s="9"/>
      <c r="AN30" s="22" t="s">
        <v>49</v>
      </c>
      <c r="AO30" s="22">
        <v>1.3648</v>
      </c>
      <c r="AP30" s="25">
        <v>11.028</v>
      </c>
      <c r="AQ30" s="9" t="s">
        <v>88</v>
      </c>
      <c r="AR30" s="9" t="s">
        <v>26</v>
      </c>
      <c r="AS30" s="22">
        <v>2.7660000000000001E-2</v>
      </c>
      <c r="AT30" s="9">
        <v>6.8889382825813135</v>
      </c>
      <c r="AU30" s="25">
        <v>10.333</v>
      </c>
      <c r="AV30" s="9" t="s">
        <v>88</v>
      </c>
      <c r="AW30" s="9" t="s">
        <v>26</v>
      </c>
      <c r="AX30" s="22">
        <v>5.3800000000000002E-3</v>
      </c>
      <c r="AY30" s="9">
        <v>14.545454545454545</v>
      </c>
      <c r="AZ30" s="13"/>
      <c r="BA30" s="9"/>
      <c r="BB30" s="9" t="s">
        <v>26</v>
      </c>
      <c r="BC30" s="9"/>
      <c r="BD30" s="9">
        <v>5.8605616062828778</v>
      </c>
      <c r="BE30" s="13"/>
      <c r="BF30" s="9"/>
      <c r="BG30" s="9" t="s">
        <v>26</v>
      </c>
      <c r="BH30" s="9"/>
      <c r="BI30" s="9">
        <v>32.970289694006077</v>
      </c>
      <c r="BJ30" s="25">
        <v>11.238</v>
      </c>
      <c r="BK30" s="9" t="s">
        <v>88</v>
      </c>
      <c r="BL30" s="9" t="s">
        <v>26</v>
      </c>
      <c r="BM30" s="22">
        <v>0.94369999999999998</v>
      </c>
      <c r="BN30" s="22">
        <v>46.20285989479143</v>
      </c>
      <c r="BO30" s="25">
        <v>2.0156999999999998</v>
      </c>
      <c r="BP30" s="9" t="s">
        <v>88</v>
      </c>
      <c r="BQ30" s="9" t="s">
        <v>26</v>
      </c>
      <c r="BR30" s="22">
        <v>6.6100000000000006E-2</v>
      </c>
      <c r="BS30" s="9">
        <v>3.102911758168482</v>
      </c>
      <c r="BT30" s="25">
        <v>17.242999999999999</v>
      </c>
      <c r="BU30" s="9" t="s">
        <v>88</v>
      </c>
      <c r="BV30" s="9" t="s">
        <v>26</v>
      </c>
      <c r="BW30" s="22">
        <v>0.46700000000000003</v>
      </c>
      <c r="BX30" s="12">
        <v>31.903385937615766</v>
      </c>
    </row>
    <row r="31" spans="1:76" ht="15" thickBot="1" x14ac:dyDescent="0.4">
      <c r="A31" s="13" t="s">
        <v>95</v>
      </c>
      <c r="B31" s="13" t="s">
        <v>48</v>
      </c>
      <c r="C31" s="13"/>
      <c r="D31" s="25">
        <v>7.0178000000000004E-2</v>
      </c>
      <c r="E31" s="21">
        <v>44841</v>
      </c>
      <c r="F31" s="13">
        <v>2.6540046296296298</v>
      </c>
      <c r="G31" s="25">
        <v>76.248999999999995</v>
      </c>
      <c r="H31" s="9" t="s">
        <v>88</v>
      </c>
      <c r="I31" s="9" t="s">
        <v>26</v>
      </c>
      <c r="J31" s="22">
        <v>6.2869999999999999</v>
      </c>
      <c r="K31" s="9">
        <v>17.227621191826497</v>
      </c>
      <c r="L31" s="25">
        <v>29.471</v>
      </c>
      <c r="M31" s="9" t="s">
        <v>88</v>
      </c>
      <c r="N31" s="9" t="s">
        <v>26</v>
      </c>
      <c r="O31" s="22">
        <v>0.85150000000000003</v>
      </c>
      <c r="P31" s="9">
        <v>19.350793696030095</v>
      </c>
      <c r="Q31" s="25">
        <v>0.1976</v>
      </c>
      <c r="R31" s="9" t="s">
        <v>88</v>
      </c>
      <c r="S31" s="9" t="s">
        <v>26</v>
      </c>
      <c r="T31" s="22">
        <v>5.0600000000000003E-3</v>
      </c>
      <c r="U31" s="22">
        <v>1.7156373792356576</v>
      </c>
      <c r="V31" s="13"/>
      <c r="W31" s="9"/>
      <c r="X31" s="9"/>
      <c r="Y31" s="9" t="s">
        <v>49</v>
      </c>
      <c r="Z31" s="22">
        <v>6.6943000000000003E-2</v>
      </c>
      <c r="AA31" s="13"/>
      <c r="AB31" s="9"/>
      <c r="AC31" s="9" t="s">
        <v>26</v>
      </c>
      <c r="AD31" s="9"/>
      <c r="AE31" s="9">
        <v>0</v>
      </c>
      <c r="AF31" s="25">
        <v>4.2816999999999998</v>
      </c>
      <c r="AG31" s="9" t="s">
        <v>88</v>
      </c>
      <c r="AH31" s="9" t="s">
        <v>26</v>
      </c>
      <c r="AI31" s="22">
        <v>3.6119999999999999E-2</v>
      </c>
      <c r="AJ31" s="9">
        <v>2.177320527800735</v>
      </c>
      <c r="AK31" s="25">
        <v>4.6879999999999997</v>
      </c>
      <c r="AL31" s="9" t="s">
        <v>88</v>
      </c>
      <c r="AM31" s="9" t="s">
        <v>26</v>
      </c>
      <c r="AN31" s="22">
        <v>0.23069999999999999</v>
      </c>
      <c r="AO31" s="22">
        <v>16.956881073840805</v>
      </c>
      <c r="AP31" s="25">
        <v>13.673999999999999</v>
      </c>
      <c r="AQ31" s="9" t="s">
        <v>88</v>
      </c>
      <c r="AR31" s="9" t="s">
        <v>26</v>
      </c>
      <c r="AS31" s="22">
        <v>6.6499999999999997E-3</v>
      </c>
      <c r="AT31" s="9">
        <v>4.4330131950183818</v>
      </c>
      <c r="AU31" s="25">
        <v>12.170999999999999</v>
      </c>
      <c r="AV31" s="9" t="s">
        <v>88</v>
      </c>
      <c r="AW31" s="9" t="s">
        <v>26</v>
      </c>
      <c r="AX31" s="22">
        <v>8.4399999999999996E-3</v>
      </c>
      <c r="AY31" s="9">
        <v>8.0908546838040394</v>
      </c>
      <c r="AZ31" s="13"/>
      <c r="BA31" s="9"/>
      <c r="BB31" s="9" t="s">
        <v>26</v>
      </c>
      <c r="BC31" s="9"/>
      <c r="BD31" s="9">
        <v>3.7005899284676107</v>
      </c>
      <c r="BE31" s="13"/>
      <c r="BF31" s="9"/>
      <c r="BG31" s="9" t="s">
        <v>26</v>
      </c>
      <c r="BH31" s="9"/>
      <c r="BI31" s="9">
        <v>19.222548376984239</v>
      </c>
      <c r="BJ31" s="25">
        <v>12.574999999999999</v>
      </c>
      <c r="BK31" s="9" t="s">
        <v>88</v>
      </c>
      <c r="BL31" s="9" t="s">
        <v>26</v>
      </c>
      <c r="BM31" s="22">
        <v>0.57079999999999997</v>
      </c>
      <c r="BN31" s="9">
        <v>29.410926501182704</v>
      </c>
      <c r="BO31" s="25">
        <v>1.7981</v>
      </c>
      <c r="BP31" s="9" t="s">
        <v>88</v>
      </c>
      <c r="BQ31" s="9" t="s">
        <v>26</v>
      </c>
      <c r="BR31" s="22">
        <v>8.7139999999999995E-2</v>
      </c>
      <c r="BS31" s="9">
        <v>1.9821026532531563</v>
      </c>
      <c r="BT31" s="25">
        <v>19.358000000000001</v>
      </c>
      <c r="BU31" s="9" t="s">
        <v>88</v>
      </c>
      <c r="BV31" s="9" t="s">
        <v>26</v>
      </c>
      <c r="BW31" s="22">
        <v>0.26629999999999998</v>
      </c>
      <c r="BX31" s="12">
        <v>16.614893556385191</v>
      </c>
    </row>
    <row r="32" spans="1:76" ht="15" thickBot="1" x14ac:dyDescent="0.4">
      <c r="A32" s="13" t="s">
        <v>96</v>
      </c>
      <c r="B32" s="13" t="s">
        <v>48</v>
      </c>
      <c r="C32" s="13"/>
      <c r="D32" s="25">
        <v>7.2309999999999999E-2</v>
      </c>
      <c r="E32" s="21">
        <v>44844</v>
      </c>
      <c r="F32" s="13">
        <v>0.98848379629629635</v>
      </c>
      <c r="G32" s="25"/>
      <c r="H32" s="9"/>
      <c r="I32" s="9"/>
      <c r="J32" s="22" t="s">
        <v>49</v>
      </c>
      <c r="K32" s="22">
        <v>4.5019999999999998</v>
      </c>
      <c r="L32" s="25">
        <v>29.129000000000001</v>
      </c>
      <c r="M32" s="9" t="s">
        <v>88</v>
      </c>
      <c r="N32" s="9" t="s">
        <v>26</v>
      </c>
      <c r="O32" s="22">
        <v>0.75280000000000002</v>
      </c>
      <c r="P32" s="9">
        <v>29.05545567694648</v>
      </c>
      <c r="Q32" s="25"/>
      <c r="R32" s="9"/>
      <c r="S32" s="9"/>
      <c r="T32" s="22" t="s">
        <v>49</v>
      </c>
      <c r="U32" s="22">
        <v>0.19047</v>
      </c>
      <c r="V32" s="13"/>
      <c r="W32" s="9"/>
      <c r="X32" s="9"/>
      <c r="Y32" s="9" t="s">
        <v>49</v>
      </c>
      <c r="Z32" s="22">
        <v>0.10711</v>
      </c>
      <c r="AA32" s="13"/>
      <c r="AB32" s="9"/>
      <c r="AC32" s="9" t="s">
        <v>26</v>
      </c>
      <c r="AD32" s="9"/>
      <c r="AE32" s="9">
        <v>0</v>
      </c>
      <c r="AF32" s="25">
        <v>3.8365</v>
      </c>
      <c r="AG32" s="9" t="s">
        <v>88</v>
      </c>
      <c r="AH32" s="9" t="s">
        <v>26</v>
      </c>
      <c r="AI32" s="22">
        <v>9.7509999999999999E-2</v>
      </c>
      <c r="AJ32" s="9">
        <v>3.4199972341308253</v>
      </c>
      <c r="AK32" s="25">
        <v>5.5477999999999996</v>
      </c>
      <c r="AL32" s="9" t="s">
        <v>88</v>
      </c>
      <c r="AM32" s="9" t="s">
        <v>26</v>
      </c>
      <c r="AN32" s="22">
        <v>0.70120000000000005</v>
      </c>
      <c r="AO32" s="9">
        <v>22.901396763933064</v>
      </c>
      <c r="AP32" s="25">
        <v>11.901999999999999</v>
      </c>
      <c r="AQ32" s="9" t="s">
        <v>88</v>
      </c>
      <c r="AR32" s="9" t="s">
        <v>26</v>
      </c>
      <c r="AS32" s="22">
        <v>1.034E-2</v>
      </c>
      <c r="AT32" s="9">
        <v>5.4750380307011479</v>
      </c>
      <c r="AU32" s="25">
        <v>12.177</v>
      </c>
      <c r="AV32" s="9" t="s">
        <v>88</v>
      </c>
      <c r="AW32" s="9" t="s">
        <v>26</v>
      </c>
      <c r="AX32" s="22">
        <v>7.2709999999999997E-2</v>
      </c>
      <c r="AY32" s="9">
        <v>14.382519706817869</v>
      </c>
      <c r="AZ32" s="13"/>
      <c r="BA32" s="9"/>
      <c r="BB32" s="9" t="s">
        <v>26</v>
      </c>
      <c r="BC32" s="9"/>
      <c r="BD32" s="9">
        <v>5.6340755082284604</v>
      </c>
      <c r="BE32" s="13"/>
      <c r="BF32" s="9"/>
      <c r="BG32" s="9" t="s">
        <v>26</v>
      </c>
      <c r="BH32" s="9"/>
      <c r="BI32" s="9">
        <v>29.733093624671554</v>
      </c>
      <c r="BJ32" s="25">
        <v>14.555999999999999</v>
      </c>
      <c r="BK32" s="9" t="s">
        <v>88</v>
      </c>
      <c r="BL32" s="9" t="s">
        <v>26</v>
      </c>
      <c r="BM32" s="22">
        <v>0.15509999999999999</v>
      </c>
      <c r="BN32" s="9">
        <v>45.235790347116584</v>
      </c>
      <c r="BO32" s="25">
        <v>1.9268000000000001</v>
      </c>
      <c r="BP32" s="9" t="s">
        <v>88</v>
      </c>
      <c r="BQ32" s="9" t="s">
        <v>26</v>
      </c>
      <c r="BR32" s="22">
        <v>6.9470000000000004E-2</v>
      </c>
      <c r="BS32" s="9">
        <v>2.8239524270502003</v>
      </c>
      <c r="BT32" s="25">
        <v>16.103999999999999</v>
      </c>
      <c r="BU32" s="9" t="s">
        <v>88</v>
      </c>
      <c r="BV32" s="9" t="s">
        <v>26</v>
      </c>
      <c r="BW32" s="22">
        <v>0.42470000000000002</v>
      </c>
      <c r="BX32" s="12">
        <v>28.848015488867375</v>
      </c>
    </row>
    <row r="33" spans="1:76" ht="15" thickBot="1" x14ac:dyDescent="0.4">
      <c r="A33" s="13" t="s">
        <v>97</v>
      </c>
      <c r="B33" s="13" t="s">
        <v>48</v>
      </c>
      <c r="C33" s="13"/>
      <c r="D33" s="25">
        <v>7.3118000000000002E-2</v>
      </c>
      <c r="E33" s="21">
        <v>44845</v>
      </c>
      <c r="F33" s="13">
        <v>1.1147337962962964</v>
      </c>
      <c r="G33" s="11"/>
      <c r="H33" s="10"/>
      <c r="I33" s="10"/>
      <c r="J33" s="10" t="s">
        <v>49</v>
      </c>
      <c r="K33" s="18">
        <v>3.8464</v>
      </c>
      <c r="L33" s="26">
        <v>30.114000000000001</v>
      </c>
      <c r="M33" s="10" t="s">
        <v>88</v>
      </c>
      <c r="N33" s="10" t="s">
        <v>26</v>
      </c>
      <c r="O33" s="18">
        <v>0.71289999999999998</v>
      </c>
      <c r="P33" s="10">
        <v>28.32407888618398</v>
      </c>
      <c r="Q33" s="11"/>
      <c r="R33" s="10"/>
      <c r="S33" s="10"/>
      <c r="T33" s="10" t="s">
        <v>49</v>
      </c>
      <c r="U33" s="18">
        <v>0.17971999999999999</v>
      </c>
      <c r="V33" s="11"/>
      <c r="W33" s="10"/>
      <c r="X33" s="10"/>
      <c r="Y33" s="10" t="s">
        <v>49</v>
      </c>
      <c r="Z33" s="18">
        <v>0.10138</v>
      </c>
      <c r="AA33" s="11"/>
      <c r="AB33" s="10"/>
      <c r="AC33" s="10" t="s">
        <v>26</v>
      </c>
      <c r="AD33" s="10"/>
      <c r="AE33" s="10">
        <v>0</v>
      </c>
      <c r="AF33" s="26">
        <v>3.9064999999999999</v>
      </c>
      <c r="AG33" s="10" t="s">
        <v>88</v>
      </c>
      <c r="AH33" s="10" t="s">
        <v>26</v>
      </c>
      <c r="AI33" s="18">
        <v>8.6660000000000001E-2</v>
      </c>
      <c r="AJ33" s="10">
        <v>3.1811592220793785</v>
      </c>
      <c r="AK33" s="26"/>
      <c r="AL33" s="10"/>
      <c r="AM33" s="10"/>
      <c r="AN33" s="18" t="s">
        <v>49</v>
      </c>
      <c r="AO33" s="18">
        <v>1.1968000000000001</v>
      </c>
      <c r="AP33" s="26">
        <v>13.999000000000001</v>
      </c>
      <c r="AQ33" s="10" t="s">
        <v>88</v>
      </c>
      <c r="AR33" s="10" t="s">
        <v>26</v>
      </c>
      <c r="AS33" s="18">
        <v>3.8440000000000002E-2</v>
      </c>
      <c r="AT33" s="10">
        <v>5.681227604693782</v>
      </c>
      <c r="AU33" s="26">
        <v>12.746</v>
      </c>
      <c r="AV33" s="10" t="s">
        <v>88</v>
      </c>
      <c r="AW33" s="10" t="s">
        <v>26</v>
      </c>
      <c r="AX33" s="18">
        <v>3.2899999999999999E-2</v>
      </c>
      <c r="AY33" s="10">
        <v>12.556415656883393</v>
      </c>
      <c r="AZ33" s="11"/>
      <c r="BA33" s="10"/>
      <c r="BB33" s="10" t="s">
        <v>26</v>
      </c>
      <c r="BC33" s="10"/>
      <c r="BD33" s="10">
        <v>4.98919554692415</v>
      </c>
      <c r="BE33" s="11"/>
      <c r="BF33" s="10"/>
      <c r="BG33" s="10" t="s">
        <v>26</v>
      </c>
      <c r="BH33" s="10"/>
      <c r="BI33" s="10">
        <v>26.81966136929347</v>
      </c>
      <c r="BJ33" s="26">
        <v>13.368</v>
      </c>
      <c r="BK33" s="10" t="s">
        <v>88</v>
      </c>
      <c r="BL33" s="10" t="s">
        <v>26</v>
      </c>
      <c r="BM33" s="18">
        <v>0.71289999999999998</v>
      </c>
      <c r="BN33" s="10">
        <v>39.320003282365491</v>
      </c>
      <c r="BO33" s="26">
        <v>2.2023999999999999</v>
      </c>
      <c r="BP33" s="10" t="s">
        <v>88</v>
      </c>
      <c r="BQ33" s="10" t="s">
        <v>26</v>
      </c>
      <c r="BR33" s="18">
        <v>8.72E-2</v>
      </c>
      <c r="BS33" s="10">
        <v>2.8460844114992203</v>
      </c>
      <c r="BT33" s="26">
        <v>17.393000000000001</v>
      </c>
      <c r="BU33" s="10" t="s">
        <v>88</v>
      </c>
      <c r="BV33" s="10" t="s">
        <v>26</v>
      </c>
      <c r="BW33" s="18">
        <v>4.7399999999999998E-2</v>
      </c>
      <c r="BX33" s="24">
        <v>24.71347684564676</v>
      </c>
    </row>
    <row r="34" spans="1:76" ht="15" thickBot="1" x14ac:dyDescent="0.4">
      <c r="A34" s="11" t="s">
        <v>98</v>
      </c>
      <c r="B34" s="13" t="s">
        <v>48</v>
      </c>
      <c r="C34" s="11"/>
      <c r="D34" s="26">
        <v>7.3300000000000004E-2</v>
      </c>
      <c r="E34" s="20">
        <v>44846</v>
      </c>
      <c r="F34" s="11">
        <v>0.9838541666666667</v>
      </c>
      <c r="G34" s="28">
        <v>76.125</v>
      </c>
      <c r="H34" s="15" t="s">
        <v>88</v>
      </c>
      <c r="I34" s="15" t="s">
        <v>26</v>
      </c>
      <c r="J34" s="16">
        <v>6.5119999999999996</v>
      </c>
      <c r="K34" s="16">
        <v>29.754433833560707</v>
      </c>
      <c r="L34" s="28">
        <v>40.262999999999998</v>
      </c>
      <c r="M34" s="15" t="s">
        <v>88</v>
      </c>
      <c r="N34" s="15" t="s">
        <v>26</v>
      </c>
      <c r="O34" s="16">
        <v>0.22059999999999999</v>
      </c>
      <c r="P34" s="15">
        <v>33.724420190995907</v>
      </c>
      <c r="Q34" s="14"/>
      <c r="R34" s="15"/>
      <c r="S34" s="15"/>
      <c r="T34" s="15" t="s">
        <v>49</v>
      </c>
      <c r="U34" s="16">
        <v>0.20768</v>
      </c>
      <c r="V34" s="14"/>
      <c r="W34" s="15"/>
      <c r="X34" s="15"/>
      <c r="Y34" s="15" t="s">
        <v>49</v>
      </c>
      <c r="Z34" s="16">
        <v>0.12363</v>
      </c>
      <c r="AA34" s="14"/>
      <c r="AB34" s="15"/>
      <c r="AC34" s="15" t="s">
        <v>26</v>
      </c>
      <c r="AD34" s="15"/>
      <c r="AE34" s="15">
        <v>0</v>
      </c>
      <c r="AF34" s="28">
        <v>9.3475999999999999</v>
      </c>
      <c r="AG34" s="15" t="s">
        <v>88</v>
      </c>
      <c r="AH34" s="15" t="s">
        <v>26</v>
      </c>
      <c r="AI34" s="16">
        <v>9.8239999999999994E-2</v>
      </c>
      <c r="AJ34" s="15">
        <v>3.8117326057298766</v>
      </c>
      <c r="AK34" s="28">
        <v>7.3159000000000001</v>
      </c>
      <c r="AL34" s="15" t="s">
        <v>88</v>
      </c>
      <c r="AM34" s="15" t="s">
        <v>26</v>
      </c>
      <c r="AN34" s="16">
        <v>0.9254</v>
      </c>
      <c r="AO34" s="16">
        <v>25.893587994542973</v>
      </c>
      <c r="AP34" s="28">
        <v>54.500999999999998</v>
      </c>
      <c r="AQ34" s="15" t="s">
        <v>88</v>
      </c>
      <c r="AR34" s="15" t="s">
        <v>26</v>
      </c>
      <c r="AS34" s="16">
        <v>0.91500000000000004</v>
      </c>
      <c r="AT34" s="15">
        <v>7.5525238744884033</v>
      </c>
      <c r="AU34" s="28">
        <v>49.988</v>
      </c>
      <c r="AV34" s="15" t="s">
        <v>88</v>
      </c>
      <c r="AW34" s="15" t="s">
        <v>26</v>
      </c>
      <c r="AX34" s="16">
        <v>0.6905</v>
      </c>
      <c r="AY34" s="15">
        <v>20.968622100954978</v>
      </c>
      <c r="AZ34" s="14"/>
      <c r="BA34" s="15"/>
      <c r="BB34" s="15" t="s">
        <v>26</v>
      </c>
      <c r="BC34" s="15"/>
      <c r="BD34" s="15">
        <v>6.4665757162346518</v>
      </c>
      <c r="BE34" s="14"/>
      <c r="BF34" s="15"/>
      <c r="BG34" s="15" t="s">
        <v>26</v>
      </c>
      <c r="BH34" s="15"/>
      <c r="BI34" s="15">
        <v>43.628922237380621</v>
      </c>
      <c r="BJ34" s="28">
        <v>52.543999999999997</v>
      </c>
      <c r="BK34" s="15" t="s">
        <v>88</v>
      </c>
      <c r="BL34" s="15" t="s">
        <v>26</v>
      </c>
      <c r="BM34" s="16">
        <v>0.75280000000000002</v>
      </c>
      <c r="BN34" s="15">
        <v>54.324693042291948</v>
      </c>
      <c r="BO34" s="28">
        <v>3.5461999999999998</v>
      </c>
      <c r="BP34" s="15" t="s">
        <v>88</v>
      </c>
      <c r="BQ34" s="15" t="s">
        <v>26</v>
      </c>
      <c r="BR34" s="16">
        <v>5.9569999999999998E-2</v>
      </c>
      <c r="BS34" s="15">
        <v>3.4106412005457023</v>
      </c>
      <c r="BT34" s="28">
        <v>16.178000000000001</v>
      </c>
      <c r="BU34" s="15" t="s">
        <v>88</v>
      </c>
      <c r="BV34" s="15" t="s">
        <v>26</v>
      </c>
      <c r="BW34" s="16">
        <v>8.0699999999999994E-2</v>
      </c>
      <c r="BX34" s="27">
        <v>37.694406548431104</v>
      </c>
    </row>
    <row r="35" spans="1:76" x14ac:dyDescent="0.35">
      <c r="B35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FB53E-2CA3-4178-A055-B17056AB0CBD}">
  <sheetPr codeName="Sheet6"/>
  <dimension ref="A1:B11"/>
  <sheetViews>
    <sheetView workbookViewId="0">
      <selection activeCell="B11" sqref="B11"/>
    </sheetView>
  </sheetViews>
  <sheetFormatPr defaultRowHeight="14.5" x14ac:dyDescent="0.35"/>
  <cols>
    <col min="1" max="1" width="43.54296875" bestFit="1" customWidth="1"/>
    <col min="2" max="2" width="18.54296875" bestFit="1" customWidth="1"/>
  </cols>
  <sheetData>
    <row r="1" spans="1:2" x14ac:dyDescent="0.35">
      <c r="A1" t="s">
        <v>0</v>
      </c>
      <c r="B1" t="s">
        <v>4</v>
      </c>
    </row>
    <row r="2" spans="1:2" x14ac:dyDescent="0.35">
      <c r="A2" t="s">
        <v>18</v>
      </c>
      <c r="B2" t="s">
        <v>24</v>
      </c>
    </row>
    <row r="3" spans="1:2" x14ac:dyDescent="0.35">
      <c r="A3" t="s">
        <v>1</v>
      </c>
      <c r="B3" t="s">
        <v>23</v>
      </c>
    </row>
    <row r="4" spans="1:2" x14ac:dyDescent="0.35">
      <c r="A4" t="s">
        <v>2</v>
      </c>
      <c r="B4" t="s">
        <v>41</v>
      </c>
    </row>
    <row r="5" spans="1:2" x14ac:dyDescent="0.35">
      <c r="A5" t="s">
        <v>7</v>
      </c>
      <c r="B5" t="s">
        <v>50</v>
      </c>
    </row>
    <row r="6" spans="1:2" x14ac:dyDescent="0.35">
      <c r="A6" t="s">
        <v>9</v>
      </c>
      <c r="B6" t="s">
        <v>216</v>
      </c>
    </row>
    <row r="7" spans="1:2" x14ac:dyDescent="0.35">
      <c r="A7" t="s">
        <v>16</v>
      </c>
      <c r="B7" t="s">
        <v>51</v>
      </c>
    </row>
    <row r="8" spans="1:2" x14ac:dyDescent="0.35">
      <c r="A8" t="s">
        <v>17</v>
      </c>
      <c r="B8" t="s">
        <v>52</v>
      </c>
    </row>
    <row r="9" spans="1:2" x14ac:dyDescent="0.35">
      <c r="A9" t="s">
        <v>19</v>
      </c>
      <c r="B9" t="s">
        <v>53</v>
      </c>
    </row>
    <row r="10" spans="1:2" x14ac:dyDescent="0.35">
      <c r="A10" t="s">
        <v>21</v>
      </c>
      <c r="B10" t="s">
        <v>54</v>
      </c>
    </row>
    <row r="11" spans="1:2" x14ac:dyDescent="0.35">
      <c r="A11" t="s">
        <v>22</v>
      </c>
      <c r="B11" t="s">
        <v>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10BC2-C98F-4624-B2BF-4D309C9C937D}">
  <sheetPr codeName="Sheet5"/>
  <dimension ref="A1:G8"/>
  <sheetViews>
    <sheetView workbookViewId="0">
      <selection activeCell="I3" sqref="I3"/>
    </sheetView>
  </sheetViews>
  <sheetFormatPr defaultRowHeight="14.5" x14ac:dyDescent="0.35"/>
  <sheetData>
    <row r="1" spans="1:7" ht="15" thickBot="1" x14ac:dyDescent="0.4">
      <c r="A1" t="s">
        <v>37</v>
      </c>
      <c r="B1" t="s">
        <v>38</v>
      </c>
      <c r="C1" t="s">
        <v>39</v>
      </c>
      <c r="E1" t="s">
        <v>40</v>
      </c>
      <c r="F1" t="s">
        <v>38</v>
      </c>
      <c r="G1" t="s">
        <v>39</v>
      </c>
    </row>
    <row r="2" spans="1:7" ht="15" thickBot="1" x14ac:dyDescent="0.4">
      <c r="A2" s="13">
        <v>2.1897106481481483</v>
      </c>
      <c r="B2" s="18">
        <v>26.685500000000001</v>
      </c>
      <c r="C2" s="18">
        <v>11.205399999999999</v>
      </c>
      <c r="E2">
        <f>SQRT(1/A2)</f>
        <v>0.67578202343126736</v>
      </c>
      <c r="F2" s="18">
        <v>26.685500000000001</v>
      </c>
      <c r="G2" s="18">
        <v>11.205399999999999</v>
      </c>
    </row>
    <row r="3" spans="1:7" ht="15" thickBot="1" x14ac:dyDescent="0.4">
      <c r="A3" s="11">
        <v>2.6689930555555552</v>
      </c>
      <c r="B3" s="16">
        <v>26.212700000000002</v>
      </c>
      <c r="C3" s="16">
        <v>10.3406</v>
      </c>
      <c r="E3">
        <f t="shared" ref="E3:E8" si="0">SQRT(1/A3)</f>
        <v>0.61210549476104736</v>
      </c>
      <c r="F3" s="16">
        <v>26.212700000000002</v>
      </c>
      <c r="G3" s="16">
        <v>10.3406</v>
      </c>
    </row>
    <row r="4" spans="1:7" ht="15" thickBot="1" x14ac:dyDescent="0.4">
      <c r="A4" s="13">
        <v>1.9836805555555557</v>
      </c>
      <c r="B4" s="22">
        <v>31.382400000000001</v>
      </c>
      <c r="C4" s="22">
        <v>24.554099999999998</v>
      </c>
      <c r="E4">
        <f t="shared" si="0"/>
        <v>0.71000945452912256</v>
      </c>
      <c r="F4" s="22">
        <v>31.382400000000001</v>
      </c>
      <c r="G4" s="22">
        <v>24.554099999999998</v>
      </c>
    </row>
    <row r="5" spans="1:7" ht="15" thickBot="1" x14ac:dyDescent="0.4">
      <c r="A5" s="13">
        <v>0.9151273148148148</v>
      </c>
      <c r="B5" s="22">
        <v>50.451799999999999</v>
      </c>
      <c r="C5" s="22">
        <v>38.128900000000002</v>
      </c>
      <c r="E5">
        <f t="shared" si="0"/>
        <v>1.0453440239449572</v>
      </c>
      <c r="F5" s="22">
        <v>50.451799999999999</v>
      </c>
      <c r="G5" s="22">
        <v>38.128900000000002</v>
      </c>
    </row>
    <row r="6" spans="1:7" ht="15" thickBot="1" x14ac:dyDescent="0.4">
      <c r="A6" s="13">
        <v>1.0120370370370371</v>
      </c>
      <c r="B6" s="22">
        <v>74.813199999999995</v>
      </c>
      <c r="C6" s="22">
        <v>80.783100000000005</v>
      </c>
      <c r="E6">
        <f t="shared" si="0"/>
        <v>0.99403527599258656</v>
      </c>
      <c r="F6" s="22">
        <v>74.813199999999995</v>
      </c>
      <c r="G6" s="22">
        <v>80.783100000000005</v>
      </c>
    </row>
    <row r="7" spans="1:7" ht="15" thickBot="1" x14ac:dyDescent="0.4">
      <c r="A7" s="13">
        <v>0.98575231481481485</v>
      </c>
      <c r="B7" s="18">
        <v>46.692</v>
      </c>
      <c r="C7" s="18">
        <v>35.832999999999998</v>
      </c>
      <c r="E7">
        <f t="shared" si="0"/>
        <v>1.0072008815287099</v>
      </c>
      <c r="F7" s="18">
        <v>46.692</v>
      </c>
      <c r="G7" s="18">
        <v>35.832999999999998</v>
      </c>
    </row>
    <row r="8" spans="1:7" ht="15" thickBot="1" x14ac:dyDescent="0.4">
      <c r="A8" s="11">
        <v>0.8822106481481482</v>
      </c>
      <c r="B8" s="16">
        <v>60.581299999999999</v>
      </c>
      <c r="C8" s="16">
        <v>64.607100000000003</v>
      </c>
      <c r="E8">
        <f t="shared" si="0"/>
        <v>1.0646671453096865</v>
      </c>
      <c r="F8" s="16">
        <v>60.581299999999999</v>
      </c>
      <c r="G8" s="16">
        <v>64.607100000000003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104EE-6878-4150-A2EB-C0085EC33D8B}">
  <sheetPr codeName="Sheet4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20"/>
  <sheetViews>
    <sheetView workbookViewId="0">
      <selection activeCell="F31" sqref="F31"/>
    </sheetView>
  </sheetViews>
  <sheetFormatPr defaultRowHeight="14.5" x14ac:dyDescent="0.35"/>
  <sheetData>
    <row r="1" spans="1:2" x14ac:dyDescent="0.35">
      <c r="A1" t="s">
        <v>1</v>
      </c>
      <c r="B1">
        <v>46.54</v>
      </c>
    </row>
    <row r="2" spans="1:2" x14ac:dyDescent="0.35">
      <c r="A2" t="s">
        <v>6</v>
      </c>
      <c r="B2">
        <v>54.54</v>
      </c>
    </row>
    <row r="3" spans="1:2" x14ac:dyDescent="0.35">
      <c r="A3" t="s">
        <v>2</v>
      </c>
      <c r="B3">
        <v>661.65700000000004</v>
      </c>
    </row>
    <row r="4" spans="1:2" x14ac:dyDescent="0.35">
      <c r="A4" t="s">
        <v>7</v>
      </c>
      <c r="B4">
        <v>911.2</v>
      </c>
    </row>
    <row r="5" spans="1:2" x14ac:dyDescent="0.35">
      <c r="A5" t="s">
        <v>8</v>
      </c>
      <c r="B5">
        <v>604.72</v>
      </c>
    </row>
    <row r="6" spans="1:2" x14ac:dyDescent="0.35">
      <c r="A6" t="s">
        <v>9</v>
      </c>
      <c r="B6">
        <v>795.86</v>
      </c>
    </row>
    <row r="7" spans="1:2" x14ac:dyDescent="0.35">
      <c r="A7" t="s">
        <v>10</v>
      </c>
      <c r="B7">
        <v>834.85</v>
      </c>
    </row>
    <row r="8" spans="1:2" x14ac:dyDescent="0.35">
      <c r="A8" t="s">
        <v>11</v>
      </c>
      <c r="B8">
        <v>898.04200000000003</v>
      </c>
    </row>
    <row r="9" spans="1:2" x14ac:dyDescent="0.35">
      <c r="A9" t="s">
        <v>12</v>
      </c>
      <c r="B9">
        <v>1836.07</v>
      </c>
    </row>
    <row r="10" spans="1:2" x14ac:dyDescent="0.35">
      <c r="A10" t="s">
        <v>13</v>
      </c>
      <c r="B10">
        <v>356.0129</v>
      </c>
    </row>
    <row r="11" spans="1:2" x14ac:dyDescent="0.35">
      <c r="A11" t="s">
        <v>3</v>
      </c>
      <c r="B11">
        <v>1173.2280000000001</v>
      </c>
    </row>
    <row r="12" spans="1:2" x14ac:dyDescent="0.35">
      <c r="A12" t="s">
        <v>14</v>
      </c>
      <c r="B12">
        <v>1332.492</v>
      </c>
    </row>
    <row r="13" spans="1:2" x14ac:dyDescent="0.35">
      <c r="A13" t="s">
        <v>15</v>
      </c>
      <c r="B13">
        <v>88.033600000000007</v>
      </c>
    </row>
    <row r="14" spans="1:2" x14ac:dyDescent="0.35">
      <c r="A14" t="s">
        <v>16</v>
      </c>
      <c r="B14">
        <v>238.63200000000001</v>
      </c>
    </row>
    <row r="15" spans="1:2" x14ac:dyDescent="0.35">
      <c r="A15" t="s">
        <v>17</v>
      </c>
      <c r="B15">
        <v>727.33</v>
      </c>
    </row>
    <row r="16" spans="1:2" x14ac:dyDescent="0.35">
      <c r="A16" t="s">
        <v>18</v>
      </c>
      <c r="B16">
        <v>1460.8219999999999</v>
      </c>
    </row>
    <row r="17" spans="1:2" x14ac:dyDescent="0.35">
      <c r="A17" t="s">
        <v>19</v>
      </c>
      <c r="B17">
        <v>609.31200000000001</v>
      </c>
    </row>
    <row r="18" spans="1:2" x14ac:dyDescent="0.35">
      <c r="A18" t="s">
        <v>20</v>
      </c>
      <c r="B18">
        <v>295.22399999999999</v>
      </c>
    </row>
    <row r="19" spans="1:2" x14ac:dyDescent="0.35">
      <c r="A19" t="s">
        <v>21</v>
      </c>
      <c r="B19">
        <v>351.93200000000002</v>
      </c>
    </row>
    <row r="20" spans="1:2" x14ac:dyDescent="0.35">
      <c r="A20" t="s">
        <v>22</v>
      </c>
      <c r="B20">
        <v>241.99700000000001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22"/>
  <sheetViews>
    <sheetView workbookViewId="0">
      <selection activeCell="D37" sqref="D37"/>
    </sheetView>
  </sheetViews>
  <sheetFormatPr defaultRowHeight="14.5" x14ac:dyDescent="0.35"/>
  <sheetData>
    <row r="1" spans="1:4" x14ac:dyDescent="0.35">
      <c r="A1" s="2"/>
      <c r="B1" s="2"/>
      <c r="C1" s="2"/>
      <c r="D1" s="2"/>
    </row>
    <row r="2" spans="1:4" x14ac:dyDescent="0.35">
      <c r="A2" s="3"/>
      <c r="B2" s="3"/>
      <c r="C2" s="2"/>
      <c r="D2" s="2"/>
    </row>
    <row r="3" spans="1:4" x14ac:dyDescent="0.35">
      <c r="A3" s="3"/>
      <c r="B3" s="3"/>
      <c r="C3" s="2"/>
      <c r="D3" s="2"/>
    </row>
    <row r="4" spans="1:4" x14ac:dyDescent="0.35">
      <c r="A4" s="3"/>
      <c r="B4" s="3"/>
      <c r="C4" s="2"/>
      <c r="D4" s="2"/>
    </row>
    <row r="5" spans="1:4" x14ac:dyDescent="0.35">
      <c r="A5" s="3"/>
      <c r="B5" s="3"/>
      <c r="C5" s="2"/>
      <c r="D5" s="2"/>
    </row>
    <row r="6" spans="1:4" x14ac:dyDescent="0.35">
      <c r="A6" s="3"/>
      <c r="B6" s="3"/>
      <c r="C6" s="2"/>
      <c r="D6" s="2"/>
    </row>
    <row r="7" spans="1:4" x14ac:dyDescent="0.35">
      <c r="A7" s="3"/>
      <c r="B7" s="3"/>
      <c r="C7" s="2"/>
      <c r="D7" s="2"/>
    </row>
    <row r="8" spans="1:4" x14ac:dyDescent="0.35">
      <c r="A8" s="3"/>
      <c r="B8" s="3"/>
      <c r="C8" s="2"/>
      <c r="D8" s="2"/>
    </row>
    <row r="9" spans="1:4" x14ac:dyDescent="0.35">
      <c r="A9" s="3"/>
      <c r="B9" s="3"/>
      <c r="C9" s="2"/>
      <c r="D9" s="2"/>
    </row>
    <row r="10" spans="1:4" x14ac:dyDescent="0.35">
      <c r="A10" s="3"/>
      <c r="B10" s="3"/>
      <c r="C10" s="2"/>
      <c r="D10" s="2"/>
    </row>
    <row r="11" spans="1:4" x14ac:dyDescent="0.35">
      <c r="A11" s="3"/>
      <c r="B11" s="3"/>
      <c r="C11" s="2"/>
      <c r="D11" s="2"/>
    </row>
    <row r="12" spans="1:4" x14ac:dyDescent="0.35">
      <c r="A12" s="3"/>
      <c r="B12" s="3"/>
      <c r="C12" s="2"/>
      <c r="D12" s="2"/>
    </row>
    <row r="13" spans="1:4" x14ac:dyDescent="0.35">
      <c r="A13" s="3"/>
      <c r="B13" s="3"/>
      <c r="C13" s="2"/>
      <c r="D13" s="2"/>
    </row>
    <row r="14" spans="1:4" x14ac:dyDescent="0.35">
      <c r="A14" s="3"/>
      <c r="B14" s="3"/>
      <c r="C14" s="2"/>
      <c r="D14" s="2"/>
    </row>
    <row r="15" spans="1:4" x14ac:dyDescent="0.35">
      <c r="A15" s="2"/>
      <c r="B15" s="3"/>
      <c r="C15" s="2"/>
      <c r="D15" s="2"/>
    </row>
    <row r="16" spans="1:4" x14ac:dyDescent="0.35">
      <c r="A16" s="2"/>
      <c r="B16" s="2"/>
      <c r="C16" s="2"/>
      <c r="D16" s="2"/>
    </row>
    <row r="17" spans="1:4" x14ac:dyDescent="0.35">
      <c r="A17" s="2"/>
      <c r="B17" s="2"/>
      <c r="C17" s="2"/>
      <c r="D17" s="3"/>
    </row>
    <row r="18" spans="1:4" x14ac:dyDescent="0.35">
      <c r="A18" s="2"/>
      <c r="B18" s="2"/>
      <c r="C18" s="2"/>
      <c r="D18" s="2"/>
    </row>
    <row r="19" spans="1:4" x14ac:dyDescent="0.35">
      <c r="A19" s="2"/>
      <c r="B19" s="2"/>
      <c r="C19" s="2"/>
      <c r="D19" s="2"/>
    </row>
    <row r="20" spans="1:4" x14ac:dyDescent="0.35">
      <c r="A20" s="2"/>
      <c r="B20" s="2"/>
      <c r="C20" s="2"/>
      <c r="D20" s="2"/>
    </row>
    <row r="21" spans="1:4" x14ac:dyDescent="0.35">
      <c r="A21" s="2"/>
      <c r="B21" s="2"/>
      <c r="C21" s="2"/>
      <c r="D21" s="2"/>
    </row>
    <row r="22" spans="1:4" x14ac:dyDescent="0.35">
      <c r="A22" s="2"/>
      <c r="B22" s="2"/>
      <c r="C22" s="2"/>
      <c r="D22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38100</xdr:colOff>
                    <xdr:row>1</xdr:row>
                    <xdr:rowOff>184150</xdr:rowOff>
                  </from>
                  <to>
                    <xdr:col>2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38100</xdr:colOff>
                    <xdr:row>3</xdr:row>
                    <xdr:rowOff>6350</xdr:rowOff>
                  </from>
                  <to>
                    <xdr:col>2</xdr:col>
                    <xdr:colOff>482600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3</xdr:row>
                    <xdr:rowOff>184150</xdr:rowOff>
                  </from>
                  <to>
                    <xdr:col>2</xdr:col>
                    <xdr:colOff>463550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heck Box 4">
              <controlPr defaultSize="0" autoFill="0" autoLine="0" autoPict="0" macro="[0]!CheckBox5_Click">
                <anchor moveWithCells="1">
                  <from>
                    <xdr:col>0</xdr:col>
                    <xdr:colOff>38100</xdr:colOff>
                    <xdr:row>5</xdr:row>
                    <xdr:rowOff>184150</xdr:rowOff>
                  </from>
                  <to>
                    <xdr:col>2</xdr:col>
                    <xdr:colOff>457200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heck Box 5">
              <controlPr defaultSize="0" autoFill="0" autoLine="0" autoPict="0">
                <anchor moveWithCells="1">
                  <from>
                    <xdr:col>0</xdr:col>
                    <xdr:colOff>38100</xdr:colOff>
                    <xdr:row>7</xdr:row>
                    <xdr:rowOff>25400</xdr:rowOff>
                  </from>
                  <to>
                    <xdr:col>2</xdr:col>
                    <xdr:colOff>463550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Check Box 6">
              <controlPr defaultSize="0" autoFill="0" autoLine="0" autoPict="0">
                <anchor moveWithCells="1">
                  <from>
                    <xdr:col>0</xdr:col>
                    <xdr:colOff>38100</xdr:colOff>
                    <xdr:row>12</xdr:row>
                    <xdr:rowOff>184150</xdr:rowOff>
                  </from>
                  <to>
                    <xdr:col>2</xdr:col>
                    <xdr:colOff>444500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Check Box 7">
              <controlPr defaultSize="0" autoFill="0" autoLine="0" autoPict="0">
                <anchor moveWithCells="1">
                  <from>
                    <xdr:col>0</xdr:col>
                    <xdr:colOff>38100</xdr:colOff>
                    <xdr:row>8</xdr:row>
                    <xdr:rowOff>0</xdr:rowOff>
                  </from>
                  <to>
                    <xdr:col>2</xdr:col>
                    <xdr:colOff>457200</xdr:colOff>
                    <xdr:row>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Check Box 8">
              <controlPr defaultSize="0" autoFill="0" autoLine="0" autoPict="0">
                <anchor moveWithCells="1">
                  <from>
                    <xdr:col>0</xdr:col>
                    <xdr:colOff>38100</xdr:colOff>
                    <xdr:row>8</xdr:row>
                    <xdr:rowOff>190500</xdr:rowOff>
                  </from>
                  <to>
                    <xdr:col>2</xdr:col>
                    <xdr:colOff>457200</xdr:colOff>
                    <xdr:row>10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Check Box 9">
              <controlPr defaultSize="0" autoFill="0" autoLine="0" autoPict="0">
                <anchor moveWithCells="1">
                  <from>
                    <xdr:col>0</xdr:col>
                    <xdr:colOff>38100</xdr:colOff>
                    <xdr:row>9</xdr:row>
                    <xdr:rowOff>184150</xdr:rowOff>
                  </from>
                  <to>
                    <xdr:col>2</xdr:col>
                    <xdr:colOff>444500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Check Box 10">
              <controlPr defaultSize="0" autoFill="0" autoLine="0" autoPict="0">
                <anchor moveWithCells="1">
                  <from>
                    <xdr:col>0</xdr:col>
                    <xdr:colOff>38100</xdr:colOff>
                    <xdr:row>12</xdr:row>
                    <xdr:rowOff>25400</xdr:rowOff>
                  </from>
                  <to>
                    <xdr:col>2</xdr:col>
                    <xdr:colOff>444500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Check Box 11">
              <controlPr defaultSize="0" autoFill="0" autoLine="0" autoPict="0">
                <anchor moveWithCells="1">
                  <from>
                    <xdr:col>0</xdr:col>
                    <xdr:colOff>38100</xdr:colOff>
                    <xdr:row>4</xdr:row>
                    <xdr:rowOff>184150</xdr:rowOff>
                  </from>
                  <to>
                    <xdr:col>2</xdr:col>
                    <xdr:colOff>450850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Check Box 12">
              <controlPr defaultSize="0" autoFill="0" autoLine="0" autoPict="0">
                <anchor moveWithCells="1">
                  <from>
                    <xdr:col>0</xdr:col>
                    <xdr:colOff>38100</xdr:colOff>
                    <xdr:row>11</xdr:row>
                    <xdr:rowOff>25400</xdr:rowOff>
                  </from>
                  <to>
                    <xdr:col>2</xdr:col>
                    <xdr:colOff>444500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Check Box 13">
              <controlPr defaultSize="0" autoFill="0" autoLine="0" autoPict="0">
                <anchor moveWithCells="1">
                  <from>
                    <xdr:col>0</xdr:col>
                    <xdr:colOff>38100</xdr:colOff>
                    <xdr:row>14</xdr:row>
                    <xdr:rowOff>184150</xdr:rowOff>
                  </from>
                  <to>
                    <xdr:col>2</xdr:col>
                    <xdr:colOff>444500</xdr:colOff>
                    <xdr:row>16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Check Box 14">
              <controlPr defaultSize="0" autoFill="0" autoLine="0" autoPict="0">
                <anchor moveWithCells="1">
                  <from>
                    <xdr:col>0</xdr:col>
                    <xdr:colOff>38100</xdr:colOff>
                    <xdr:row>16</xdr:row>
                    <xdr:rowOff>184150</xdr:rowOff>
                  </from>
                  <to>
                    <xdr:col>2</xdr:col>
                    <xdr:colOff>444500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Check Box 15">
              <controlPr defaultSize="0" autoFill="0" autoLine="0" autoPict="0">
                <anchor moveWithCells="1">
                  <from>
                    <xdr:col>0</xdr:col>
                    <xdr:colOff>38100</xdr:colOff>
                    <xdr:row>13</xdr:row>
                    <xdr:rowOff>184150</xdr:rowOff>
                  </from>
                  <to>
                    <xdr:col>2</xdr:col>
                    <xdr:colOff>444500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Check Box 16">
              <controlPr defaultSize="0" autoFill="0" autoLine="0" autoPict="0">
                <anchor moveWithCells="1">
                  <from>
                    <xdr:col>0</xdr:col>
                    <xdr:colOff>38100</xdr:colOff>
                    <xdr:row>15</xdr:row>
                    <xdr:rowOff>184150</xdr:rowOff>
                  </from>
                  <to>
                    <xdr:col>2</xdr:col>
                    <xdr:colOff>444500</xdr:colOff>
                    <xdr:row>17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Sheet1</vt:lpstr>
      <vt:lpstr>AECOM IRENE Pre-PBC</vt:lpstr>
      <vt:lpstr>NetPeakAreas</vt:lpstr>
      <vt:lpstr>Sheet5</vt:lpstr>
      <vt:lpstr>Sheet6</vt:lpstr>
      <vt:lpstr>Sheet4</vt:lpstr>
      <vt:lpstr>NLS</vt:lpstr>
      <vt:lpstr>Sheet3</vt:lpstr>
      <vt:lpstr>Temporary</vt:lpstr>
      <vt:lpstr>Nuclide Library</vt:lpstr>
      <vt:lpstr>Sheet2</vt:lpstr>
    </vt:vector>
  </TitlesOfParts>
  <Company>ANSTO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MOTTA, Gabriele</dc:creator>
  <cp:lastModifiedBy>MOTTA, Gabriele</cp:lastModifiedBy>
  <dcterms:created xsi:type="dcterms:W3CDTF">2020-10-19T05:23:37Z</dcterms:created>
  <dcterms:modified xsi:type="dcterms:W3CDTF">2023-05-02T01:46:30Z</dcterms:modified>
</cp:coreProperties>
</file>