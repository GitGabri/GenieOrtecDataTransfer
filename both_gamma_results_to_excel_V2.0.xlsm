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ttag\Documents\Projects\Automation\Gamma Results To Excel\"/>
    </mc:Choice>
  </mc:AlternateContent>
  <xr:revisionPtr revIDLastSave="0" documentId="13_ncr:1_{B2B194E8-ADDE-405D-8C56-D52F779DF20D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heet1" sheetId="1" r:id="rId1"/>
    <sheet name="NetPeakAreas" sheetId="10" r:id="rId2"/>
    <sheet name="NLS" sheetId="6" r:id="rId3"/>
    <sheet name="Temporary" sheetId="4" state="hidden" r:id="rId4"/>
    <sheet name="Nuclide Library" sheetId="3" state="hidden" r:id="rId5"/>
    <sheet name="Sheet2" sheetId="2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88" i="10" l="1"/>
  <c r="F87" i="10"/>
  <c r="X21" i="10" l="1"/>
  <c r="R25" i="10"/>
  <c r="X25" i="10"/>
  <c r="U25" i="10"/>
  <c r="F30" i="10"/>
  <c r="O26" i="10"/>
  <c r="R26" i="10"/>
  <c r="U26" i="10"/>
  <c r="X26" i="10"/>
  <c r="X23" i="10"/>
  <c r="U23" i="10"/>
  <c r="R23" i="10"/>
  <c r="O23" i="10"/>
</calcChain>
</file>

<file path=xl/sharedStrings.xml><?xml version="1.0" encoding="utf-8"?>
<sst xmlns="http://schemas.openxmlformats.org/spreadsheetml/2006/main" count="995" uniqueCount="77">
  <si>
    <t>Selected Nuclides For Data Export</t>
  </si>
  <si>
    <t>Pb-210</t>
  </si>
  <si>
    <t>Cs-137</t>
  </si>
  <si>
    <t>Co-60</t>
  </si>
  <si>
    <t>Energy (keV)</t>
  </si>
  <si>
    <t>Insert report file path in cell A2 or Browse using the button to the right</t>
  </si>
  <si>
    <t>Am-241</t>
  </si>
  <si>
    <t>Ac-228</t>
  </si>
  <si>
    <t>Cs-134</t>
  </si>
  <si>
    <t>Cs-134_2</t>
  </si>
  <si>
    <t>Mn-54</t>
  </si>
  <si>
    <t>Y-88</t>
  </si>
  <si>
    <t>Y-88_2</t>
  </si>
  <si>
    <t>Ba-133</t>
  </si>
  <si>
    <t>Co-60_2</t>
  </si>
  <si>
    <t>Cd-109</t>
  </si>
  <si>
    <t>Pb-212</t>
  </si>
  <si>
    <t>Bi-212</t>
  </si>
  <si>
    <t>K-40</t>
  </si>
  <si>
    <t>Bi-214</t>
  </si>
  <si>
    <t>Pb-214</t>
  </si>
  <si>
    <t>Pb-214_2</t>
  </si>
  <si>
    <t>Pb-214_3</t>
  </si>
  <si>
    <t>46.54 keV</t>
  </si>
  <si>
    <t>1460.822 keV</t>
  </si>
  <si>
    <t>Acquisition Date</t>
  </si>
  <si>
    <t>±</t>
  </si>
  <si>
    <t>mass (kg)</t>
  </si>
  <si>
    <t>LiveTime (days)</t>
  </si>
  <si>
    <t>Detector</t>
  </si>
  <si>
    <t>Sample ID</t>
  </si>
  <si>
    <t>Efficiency ID</t>
  </si>
  <si>
    <t>TOC Activity (Bq/kg)</t>
  </si>
  <si>
    <t>Decay Corrected Activity (Bq/kg)</t>
  </si>
  <si>
    <t>Uncertainty (Bq/kg)</t>
  </si>
  <si>
    <t>MDA (Bq/kg)</t>
  </si>
  <si>
    <t>661.657 keV</t>
  </si>
  <si>
    <t xml:space="preserve">Helene   UNSUP                           </t>
  </si>
  <si>
    <t>911.2 keV</t>
  </si>
  <si>
    <t>238.632 keV</t>
  </si>
  <si>
    <t>727.33 keV</t>
  </si>
  <si>
    <t>609.312 keV</t>
  </si>
  <si>
    <t>351.932 keV</t>
  </si>
  <si>
    <t>241.997 keV</t>
  </si>
  <si>
    <t>Ra-226</t>
  </si>
  <si>
    <t>186.211 keV</t>
  </si>
  <si>
    <t xml:space="preserve">Marie   MARIE-U                         </t>
  </si>
  <si>
    <t>Th-234</t>
  </si>
  <si>
    <t>63.3 keV</t>
  </si>
  <si>
    <t xml:space="preserve"> 22RGUThK-MP            </t>
  </si>
  <si>
    <t xml:space="preserve"> 20201109UThKCsPH       </t>
  </si>
  <si>
    <t>Y612</t>
  </si>
  <si>
    <t>IAEA-327</t>
  </si>
  <si>
    <t>Net Peak Area (Cts)</t>
  </si>
  <si>
    <t>Net Peak Area Uncertainty (Cts)</t>
  </si>
  <si>
    <t>Net Peak Count Rate (Cts/s)</t>
  </si>
  <si>
    <t>Petri+RaPS</t>
  </si>
  <si>
    <t>RGTh-1+RaPS</t>
  </si>
  <si>
    <t>RGK</t>
  </si>
  <si>
    <t>RGTh</t>
  </si>
  <si>
    <t>RGK+RaPS</t>
  </si>
  <si>
    <t>RGU</t>
  </si>
  <si>
    <t>RGU+RaPS</t>
  </si>
  <si>
    <t>Bi-214_2</t>
  </si>
  <si>
    <t>1120.287 keV</t>
  </si>
  <si>
    <t>Bi-214_3</t>
  </si>
  <si>
    <t>1764.5 keV</t>
  </si>
  <si>
    <t>IAEA-300</t>
  </si>
  <si>
    <t>IAEA-300+RaPS</t>
  </si>
  <si>
    <t>IAEA-327+RaPS</t>
  </si>
  <si>
    <t>RaPS</t>
  </si>
  <si>
    <t>RGTh+RaPS</t>
  </si>
  <si>
    <t>Y612+RaPS</t>
  </si>
  <si>
    <t>795.86 keV</t>
  </si>
  <si>
    <t>Y873</t>
  </si>
  <si>
    <t>P:\carob\llr\Laboratory\Gamma_Spec\Gamma Spec Raw Data\Detectors\Marie\MARIE\2023\2023rc0020 A. MacIntosh\</t>
  </si>
  <si>
    <t>SampleEfficiency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</si>
</sst>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0" xfId="0" applyFill="1" applyBorder="1"/>
    <xf numFmtId="0" fontId="3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left"/>
    </xf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11" fontId="0" fillId="0" borderId="8" xfId="0" applyNumberFormat="1" applyBorder="1"/>
    <xf numFmtId="11" fontId="0" fillId="0" borderId="9" xfId="0" applyNumberFormat="1" applyBorder="1"/>
    <xf numFmtId="14" fontId="0" fillId="0" borderId="3" xfId="0" applyNumberFormat="1" applyBorder="1"/>
    <xf numFmtId="14" fontId="0" fillId="0" borderId="5" xfId="0" applyNumberFormat="1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3" borderId="0" xfId="0" applyFill="1"/>
    <xf numFmtId="14" fontId="0" fillId="3" borderId="0" xfId="0" applyNumberFormat="1" applyFill="1"/>
    <xf numFmtId="11" fontId="0" fillId="3" borderId="0" xfId="0" applyNumberFormat="1" applyFill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1" fontId="0" fillId="0" borderId="0" xfId="0" applyNumberFormat="1" applyFill="1" applyBorder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800100</xdr:colOff>
          <xdr:row>0</xdr:row>
          <xdr:rowOff>44450</xdr:rowOff>
        </xdr:from>
        <xdr:to>
          <xdr:col>10</xdr:col>
          <xdr:colOff>717550</xdr:colOff>
          <xdr:row>0</xdr:row>
          <xdr:rowOff>311150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 For Report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69850</xdr:colOff>
          <xdr:row>2</xdr:row>
          <xdr:rowOff>63500</xdr:rowOff>
        </xdr:from>
        <xdr:to>
          <xdr:col>8</xdr:col>
          <xdr:colOff>762000</xdr:colOff>
          <xdr:row>4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Nuclides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2</xdr:row>
          <xdr:rowOff>82550</xdr:rowOff>
        </xdr:from>
        <xdr:to>
          <xdr:col>4</xdr:col>
          <xdr:colOff>482600</xdr:colOff>
          <xdr:row>5</xdr:row>
          <xdr:rowOff>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749300</xdr:colOff>
          <xdr:row>3</xdr:row>
          <xdr:rowOff>152400</xdr:rowOff>
        </xdr:from>
        <xdr:to>
          <xdr:col>6</xdr:col>
          <xdr:colOff>438150</xdr:colOff>
          <xdr:row>6</xdr:row>
          <xdr:rowOff>12700</xdr:rowOff>
        </xdr:to>
        <xdr:sp macro="" textlink="">
          <xdr:nvSpPr>
            <xdr:cNvPr id="3078" name="Check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1384300</xdr:colOff>
          <xdr:row>2</xdr:row>
          <xdr:rowOff>127000</xdr:rowOff>
        </xdr:from>
        <xdr:to>
          <xdr:col>10</xdr:col>
          <xdr:colOff>1181100</xdr:colOff>
          <xdr:row>4</xdr:row>
          <xdr:rowOff>6350</xdr:rowOff>
        </xdr:to>
        <xdr:sp macro="" textlink="">
          <xdr:nvSpPr>
            <xdr:cNvPr id="3080" name="GenieDataShiftColumnCheckBox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1390650</xdr:colOff>
          <xdr:row>4</xdr:row>
          <xdr:rowOff>50800</xdr:rowOff>
        </xdr:from>
        <xdr:to>
          <xdr:col>11</xdr:col>
          <xdr:colOff>38100</xdr:colOff>
          <xdr:row>6</xdr:row>
          <xdr:rowOff>19050</xdr:rowOff>
        </xdr:to>
        <xdr:sp macro="" textlink="">
          <xdr:nvSpPr>
            <xdr:cNvPr id="3081" name="ReadNetPeakAreaChkBox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520700</xdr:colOff>
          <xdr:row>1</xdr:row>
          <xdr:rowOff>31750</xdr:rowOff>
        </xdr:from>
        <xdr:to>
          <xdr:col>6</xdr:col>
          <xdr:colOff>0</xdr:colOff>
          <xdr:row>3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184150</xdr:rowOff>
        </xdr:from>
        <xdr:to>
          <xdr:col>2</xdr:col>
          <xdr:colOff>457200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Pb-210      45.54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6350</xdr:rowOff>
        </xdr:from>
        <xdr:to>
          <xdr:col>2</xdr:col>
          <xdr:colOff>482600</xdr:colOff>
          <xdr:row>4</xdr:row>
          <xdr:rowOff>31750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Am-241     54.54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184150</xdr:rowOff>
        </xdr:from>
        <xdr:to>
          <xdr:col>2</xdr:col>
          <xdr:colOff>463550</xdr:colOff>
          <xdr:row>5</xdr:row>
          <xdr:rowOff>38100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Cs-137      661.657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184150</xdr:rowOff>
        </xdr:from>
        <xdr:to>
          <xdr:col>2</xdr:col>
          <xdr:colOff>457200</xdr:colOff>
          <xdr:row>7</xdr:row>
          <xdr:rowOff>25400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604.72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25400</xdr:rowOff>
        </xdr:from>
        <xdr:to>
          <xdr:col>2</xdr:col>
          <xdr:colOff>463550</xdr:colOff>
          <xdr:row>8</xdr:row>
          <xdr:rowOff>25400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Cs-134      795.86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184150</xdr:rowOff>
        </xdr:from>
        <xdr:to>
          <xdr:col>2</xdr:col>
          <xdr:colOff>444500</xdr:colOff>
          <xdr:row>14</xdr:row>
          <xdr:rowOff>25400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Cd-109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0</xdr:rowOff>
        </xdr:from>
        <xdr:to>
          <xdr:col>2</xdr:col>
          <xdr:colOff>457200</xdr:colOff>
          <xdr:row>9</xdr:row>
          <xdr:rowOff>6350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Mn-54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190500</xdr:rowOff>
        </xdr:from>
        <xdr:to>
          <xdr:col>2</xdr:col>
          <xdr:colOff>457200</xdr:colOff>
          <xdr:row>10</xdr:row>
          <xdr:rowOff>6350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Y-88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184150</xdr:rowOff>
        </xdr:from>
        <xdr:to>
          <xdr:col>2</xdr:col>
          <xdr:colOff>444500</xdr:colOff>
          <xdr:row>11</xdr:row>
          <xdr:rowOff>6350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Ba-133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25400</xdr:rowOff>
        </xdr:from>
        <xdr:to>
          <xdr:col>2</xdr:col>
          <xdr:colOff>444500</xdr:colOff>
          <xdr:row>13</xdr:row>
          <xdr:rowOff>25400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184150</xdr:rowOff>
        </xdr:from>
        <xdr:to>
          <xdr:col>2</xdr:col>
          <xdr:colOff>450850</xdr:colOff>
          <xdr:row>6</xdr:row>
          <xdr:rowOff>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Ac-228      911.2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11</xdr:row>
          <xdr:rowOff>25400</xdr:rowOff>
        </xdr:from>
        <xdr:to>
          <xdr:col>2</xdr:col>
          <xdr:colOff>444500</xdr:colOff>
          <xdr:row>12</xdr:row>
          <xdr:rowOff>25400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Co-60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14</xdr:row>
          <xdr:rowOff>184150</xdr:rowOff>
        </xdr:from>
        <xdr:to>
          <xdr:col>2</xdr:col>
          <xdr:colOff>444500</xdr:colOff>
          <xdr:row>16</xdr:row>
          <xdr:rowOff>25400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Bi-212     727.33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184150</xdr:rowOff>
        </xdr:from>
        <xdr:to>
          <xdr:col>2</xdr:col>
          <xdr:colOff>444500</xdr:colOff>
          <xdr:row>18</xdr:row>
          <xdr:rowOff>25400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Bi-214     609.31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</xdr:row>
          <xdr:rowOff>184150</xdr:rowOff>
        </xdr:from>
        <xdr:to>
          <xdr:col>2</xdr:col>
          <xdr:colOff>444500</xdr:colOff>
          <xdr:row>15</xdr:row>
          <xdr:rowOff>25400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5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Pb-212     238.63 keV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184150</xdr:rowOff>
        </xdr:from>
        <xdr:to>
          <xdr:col>2</xdr:col>
          <xdr:colOff>444500</xdr:colOff>
          <xdr:row>17</xdr:row>
          <xdr:rowOff>25400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K-40       1460.82 keV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8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0"/>
  <sheetViews>
    <sheetView tabSelected="1" zoomScale="93" zoomScaleNormal="93" workbookViewId="0">
      <selection activeCell="H10" sqref="H10"/>
    </sheetView>
  </sheetViews>
  <sheetFormatPr defaultColWidth="13.54296875" defaultRowHeight="14.5" x14ac:dyDescent="0.35"/>
  <cols>
    <col min="2" max="2" width="17.26953125" customWidth="1"/>
    <col min="3" max="3" width="16.26953125" customWidth="1"/>
    <col min="4" max="4" width="20.36328125" customWidth="1"/>
    <col min="5" max="5" width="15" bestFit="1" customWidth="1"/>
    <col min="6" max="6" width="15.6328125" bestFit="1" customWidth="1"/>
    <col min="7" max="7" width="15" bestFit="1" customWidth="1"/>
    <col min="8" max="8" width="17.453125" bestFit="1" customWidth="1"/>
    <col min="9" max="9" width="17.36328125" customWidth="1"/>
    <col min="10" max="10" width="8.54296875" bestFit="1" customWidth="1"/>
    <col min="11" max="11" width="17.1796875" bestFit="1" customWidth="1"/>
    <col min="12" max="12" width="15.36328125" bestFit="1" customWidth="1"/>
    <col min="13" max="13" width="10.90625" customWidth="1"/>
    <col min="14" max="14" width="1.81640625" bestFit="1" customWidth="1"/>
    <col min="15" max="15" width="10.1796875" customWidth="1"/>
    <col min="16" max="16" width="17.1796875" bestFit="1" customWidth="1"/>
    <col min="17" max="17" width="19.453125" bestFit="1" customWidth="1"/>
    <col min="19" max="19" width="8" bestFit="1" customWidth="1"/>
    <col min="20" max="20" width="17.26953125" bestFit="1" customWidth="1"/>
    <col min="22" max="22" width="15.36328125" bestFit="1" customWidth="1"/>
    <col min="23" max="23" width="8.6328125" customWidth="1"/>
    <col min="24" max="24" width="1.81640625" bestFit="1" customWidth="1"/>
    <col min="28" max="28" width="10.36328125" customWidth="1"/>
    <col min="29" max="29" width="8" bestFit="1" customWidth="1"/>
    <col min="30" max="30" width="17.26953125" bestFit="1" customWidth="1"/>
    <col min="31" max="31" width="18.54296875" bestFit="1" customWidth="1"/>
    <col min="33" max="33" width="9.08984375" customWidth="1"/>
    <col min="34" max="34" width="8" bestFit="1" customWidth="1"/>
    <col min="35" max="35" width="17.26953125" bestFit="1" customWidth="1"/>
    <col min="36" max="36" width="18.54296875" bestFit="1" customWidth="1"/>
    <col min="38" max="38" width="9.81640625" customWidth="1"/>
    <col min="39" max="39" width="3.81640625" customWidth="1"/>
    <col min="40" max="40" width="17.26953125" bestFit="1" customWidth="1"/>
    <col min="41" max="41" width="18.54296875" bestFit="1" customWidth="1"/>
    <col min="54" max="54" width="30.6328125" bestFit="1" customWidth="1"/>
    <col min="55" max="55" width="2.08984375" customWidth="1"/>
    <col min="56" max="56" width="18.54296875" bestFit="1" customWidth="1"/>
    <col min="59" max="59" width="30.6328125" bestFit="1" customWidth="1"/>
    <col min="60" max="60" width="2.08984375" customWidth="1"/>
    <col min="61" max="61" width="18.54296875" bestFit="1" customWidth="1"/>
    <col min="199" max="199" width="15.6328125" bestFit="1" customWidth="1"/>
  </cols>
  <sheetData>
    <row r="1" spans="1:56" ht="26.25" customHeight="1" x14ac:dyDescent="0.45">
      <c r="A1" s="4" t="s">
        <v>5</v>
      </c>
      <c r="B1" s="4"/>
      <c r="C1" s="5"/>
      <c r="D1" s="5"/>
      <c r="E1" s="5"/>
      <c r="F1" s="5"/>
      <c r="G1" s="26"/>
      <c r="H1" s="26"/>
      <c r="I1" s="26"/>
      <c r="J1" s="26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</row>
    <row r="2" spans="1:56" ht="19.5" customHeight="1" x14ac:dyDescent="0.35">
      <c r="A2" s="29" t="s">
        <v>75</v>
      </c>
      <c r="B2" s="7"/>
      <c r="C2" s="6"/>
      <c r="D2" s="6"/>
      <c r="E2" s="6"/>
      <c r="F2" s="6"/>
      <c r="G2" s="28"/>
      <c r="H2" s="27"/>
      <c r="I2" s="27"/>
      <c r="J2" s="27"/>
      <c r="K2" s="28"/>
      <c r="L2" s="28"/>
      <c r="M2" s="27"/>
      <c r="N2" s="27"/>
      <c r="O2" s="28"/>
      <c r="P2" s="28"/>
      <c r="Q2" s="28"/>
      <c r="R2" s="27"/>
      <c r="S2" s="27"/>
      <c r="T2" s="28"/>
      <c r="U2" s="28"/>
      <c r="V2" s="28"/>
      <c r="W2" s="27"/>
      <c r="X2" s="27"/>
      <c r="Y2" s="28"/>
      <c r="Z2" s="28"/>
      <c r="AA2" s="28"/>
      <c r="AB2" s="27"/>
      <c r="AC2" s="27"/>
      <c r="AD2" s="28"/>
      <c r="AE2" s="28"/>
      <c r="AF2" s="28"/>
      <c r="AG2" s="27"/>
      <c r="AH2" s="27"/>
      <c r="AI2" s="28"/>
      <c r="AJ2" s="28"/>
      <c r="AK2" s="28"/>
      <c r="AL2" s="27"/>
      <c r="AM2" s="27"/>
      <c r="AN2" s="28"/>
      <c r="AO2" s="28"/>
      <c r="AP2" s="28"/>
      <c r="AQ2" s="27"/>
      <c r="AR2" s="27"/>
      <c r="AS2" s="28"/>
      <c r="AT2" s="28"/>
    </row>
    <row r="3" spans="1:56" x14ac:dyDescent="0.3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Q3" s="8"/>
      <c r="T3" s="1"/>
    </row>
    <row r="7" spans="1:56" ht="15" thickBot="1" x14ac:dyDescent="0.4"/>
    <row r="8" spans="1:56" ht="15" thickBot="1" x14ac:dyDescent="0.4">
      <c r="G8" s="13" t="s">
        <v>18</v>
      </c>
      <c r="H8" s="9" t="s">
        <v>24</v>
      </c>
      <c r="I8" s="9"/>
      <c r="J8" s="9"/>
      <c r="K8" s="9"/>
      <c r="L8" s="13" t="s">
        <v>1</v>
      </c>
      <c r="M8" s="9" t="s">
        <v>23</v>
      </c>
      <c r="N8" s="9"/>
      <c r="O8" s="9"/>
      <c r="P8" s="9"/>
      <c r="Q8" s="13" t="s">
        <v>2</v>
      </c>
      <c r="R8" s="9" t="s">
        <v>36</v>
      </c>
      <c r="S8" s="9"/>
      <c r="T8" s="9"/>
      <c r="U8" s="9"/>
      <c r="V8" s="13" t="s">
        <v>7</v>
      </c>
      <c r="W8" s="9" t="s">
        <v>38</v>
      </c>
      <c r="X8" s="9"/>
      <c r="Y8" s="9"/>
      <c r="Z8" s="9"/>
      <c r="AA8" s="13" t="s">
        <v>9</v>
      </c>
      <c r="AB8" s="9" t="s">
        <v>73</v>
      </c>
      <c r="AC8" s="9"/>
      <c r="AD8" s="9"/>
      <c r="AE8" s="9"/>
      <c r="AF8" s="13" t="s">
        <v>16</v>
      </c>
      <c r="AG8" s="9" t="s">
        <v>39</v>
      </c>
      <c r="AH8" s="9"/>
      <c r="AI8" s="9"/>
      <c r="AJ8" s="9"/>
      <c r="AK8" s="13" t="s">
        <v>17</v>
      </c>
      <c r="AL8" s="9" t="s">
        <v>40</v>
      </c>
      <c r="AM8" s="9"/>
      <c r="AN8" s="9"/>
      <c r="AO8" s="9"/>
      <c r="AP8" s="13" t="s">
        <v>19</v>
      </c>
      <c r="AQ8" s="9" t="s">
        <v>41</v>
      </c>
      <c r="AR8" s="9"/>
      <c r="AS8" s="9"/>
      <c r="AT8" s="9"/>
      <c r="AU8" s="13" t="s">
        <v>21</v>
      </c>
      <c r="AV8" s="9" t="s">
        <v>42</v>
      </c>
      <c r="AW8" s="9"/>
      <c r="AX8" s="9"/>
      <c r="AY8" s="9"/>
      <c r="AZ8" s="13" t="s">
        <v>22</v>
      </c>
      <c r="BA8" s="9" t="s">
        <v>43</v>
      </c>
      <c r="BB8" s="9"/>
      <c r="BC8" s="9"/>
      <c r="BD8" s="12"/>
    </row>
    <row r="9" spans="1:56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13" t="s">
        <v>28</v>
      </c>
      <c r="G9" s="11" t="s">
        <v>32</v>
      </c>
      <c r="H9" s="10" t="s">
        <v>33</v>
      </c>
      <c r="I9" s="10"/>
      <c r="J9" s="10" t="s">
        <v>34</v>
      </c>
      <c r="K9" s="10" t="s">
        <v>35</v>
      </c>
      <c r="L9" s="11" t="s">
        <v>32</v>
      </c>
      <c r="M9" s="10" t="s">
        <v>33</v>
      </c>
      <c r="N9" s="10"/>
      <c r="O9" s="10" t="s">
        <v>34</v>
      </c>
      <c r="P9" s="10" t="s">
        <v>35</v>
      </c>
      <c r="Q9" s="11" t="s">
        <v>32</v>
      </c>
      <c r="R9" s="10" t="s">
        <v>33</v>
      </c>
      <c r="S9" s="10"/>
      <c r="T9" s="10" t="s">
        <v>34</v>
      </c>
      <c r="U9" s="10" t="s">
        <v>35</v>
      </c>
      <c r="V9" s="11" t="s">
        <v>32</v>
      </c>
      <c r="W9" s="10" t="s">
        <v>33</v>
      </c>
      <c r="X9" s="10"/>
      <c r="Y9" s="10" t="s">
        <v>34</v>
      </c>
      <c r="Z9" s="10" t="s">
        <v>35</v>
      </c>
      <c r="AA9" s="11" t="s">
        <v>32</v>
      </c>
      <c r="AB9" s="10" t="s">
        <v>33</v>
      </c>
      <c r="AC9" s="10"/>
      <c r="AD9" s="10" t="s">
        <v>34</v>
      </c>
      <c r="AE9" s="10" t="s">
        <v>35</v>
      </c>
      <c r="AF9" s="11" t="s">
        <v>32</v>
      </c>
      <c r="AG9" s="10" t="s">
        <v>33</v>
      </c>
      <c r="AH9" s="10"/>
      <c r="AI9" s="10" t="s">
        <v>34</v>
      </c>
      <c r="AJ9" s="10" t="s">
        <v>35</v>
      </c>
      <c r="AK9" s="11" t="s">
        <v>32</v>
      </c>
      <c r="AL9" s="10" t="s">
        <v>33</v>
      </c>
      <c r="AM9" s="10"/>
      <c r="AN9" s="10" t="s">
        <v>34</v>
      </c>
      <c r="AO9" s="10" t="s">
        <v>35</v>
      </c>
      <c r="AP9" s="11" t="s">
        <v>32</v>
      </c>
      <c r="AQ9" s="10" t="s">
        <v>33</v>
      </c>
      <c r="AR9" s="10"/>
      <c r="AS9" s="10" t="s">
        <v>34</v>
      </c>
      <c r="AT9" s="10" t="s">
        <v>35</v>
      </c>
      <c r="AU9" s="11" t="s">
        <v>32</v>
      </c>
      <c r="AV9" s="10" t="s">
        <v>33</v>
      </c>
      <c r="AW9" s="10"/>
      <c r="AX9" s="10" t="s">
        <v>34</v>
      </c>
      <c r="AY9" s="10" t="s">
        <v>35</v>
      </c>
      <c r="AZ9" s="11" t="s">
        <v>32</v>
      </c>
      <c r="BA9" s="10" t="s">
        <v>33</v>
      </c>
      <c r="BB9" s="10"/>
      <c r="BC9" s="10" t="s">
        <v>34</v>
      </c>
      <c r="BD9" s="20" t="s">
        <v>35</v>
      </c>
    </row>
    <row r="10" spans="1:56" ht="15" thickBot="1" x14ac:dyDescent="0.4">
      <c r="A10" s="10" t="s">
        <v>74</v>
      </c>
      <c r="B10" s="11" t="s">
        <v>46</v>
      </c>
      <c r="C10" s="11" t="s">
        <v>76</v>
      </c>
      <c r="D10" s="11">
        <v>3.1782999999999998E-3</v>
      </c>
      <c r="E10" s="18">
        <v>45033</v>
      </c>
      <c r="F10" s="11">
        <v>1.9725694444444446</v>
      </c>
      <c r="G10" s="14"/>
      <c r="H10" s="16">
        <v>0.94105000000000005</v>
      </c>
      <c r="I10" s="15" t="s">
        <v>26</v>
      </c>
      <c r="J10" s="16">
        <v>2.7454000000000001</v>
      </c>
      <c r="K10" s="16">
        <v>12.8192</v>
      </c>
      <c r="L10" s="14"/>
      <c r="M10" s="16">
        <v>3.3460999999999999</v>
      </c>
      <c r="N10" s="15" t="s">
        <v>26</v>
      </c>
      <c r="O10" s="16">
        <v>1.238</v>
      </c>
      <c r="P10" s="16">
        <v>6.2232399999999997</v>
      </c>
      <c r="Q10" s="14"/>
      <c r="R10" s="15"/>
      <c r="S10" s="15" t="s">
        <v>26</v>
      </c>
      <c r="T10" s="15"/>
      <c r="U10" s="16">
        <v>1.84294</v>
      </c>
      <c r="V10" s="14"/>
      <c r="W10" s="16">
        <v>1.1171</v>
      </c>
      <c r="X10" s="15" t="s">
        <v>26</v>
      </c>
      <c r="Y10" s="16">
        <v>1.0132000000000001</v>
      </c>
      <c r="Z10" s="16">
        <v>4.6887499999999998</v>
      </c>
      <c r="AA10" s="14"/>
      <c r="AB10" s="15"/>
      <c r="AC10" s="15" t="s">
        <v>26</v>
      </c>
      <c r="AD10" s="15"/>
      <c r="AE10" s="16">
        <v>2.0777399999999999</v>
      </c>
      <c r="AF10" s="14"/>
      <c r="AG10" s="16">
        <v>7.6395000000000005E-2</v>
      </c>
      <c r="AH10" s="15" t="s">
        <v>26</v>
      </c>
      <c r="AI10" s="16">
        <v>0.82974000000000003</v>
      </c>
      <c r="AJ10" s="16">
        <v>1.6367499999999999</v>
      </c>
      <c r="AK10" s="14"/>
      <c r="AL10" s="15"/>
      <c r="AM10" s="15" t="s">
        <v>26</v>
      </c>
      <c r="AN10" s="15"/>
      <c r="AO10" s="16">
        <v>25.079699999999999</v>
      </c>
      <c r="AP10" s="14"/>
      <c r="AQ10" s="16">
        <v>1.8695999999999999</v>
      </c>
      <c r="AR10" s="15" t="s">
        <v>26</v>
      </c>
      <c r="AS10" s="16">
        <v>2.2612000000000001</v>
      </c>
      <c r="AT10" s="16">
        <v>3.8336100000000002</v>
      </c>
      <c r="AU10" s="14"/>
      <c r="AV10" s="16">
        <v>2.8290999999999999</v>
      </c>
      <c r="AW10" s="15" t="s">
        <v>26</v>
      </c>
      <c r="AX10" s="16">
        <v>0.86284000000000005</v>
      </c>
      <c r="AY10" s="16">
        <v>3.5274700000000001</v>
      </c>
      <c r="AZ10" s="14"/>
      <c r="BA10" s="16">
        <v>7.0175999999999998</v>
      </c>
      <c r="BB10" s="15" t="s">
        <v>26</v>
      </c>
      <c r="BC10" s="16">
        <v>3.6269</v>
      </c>
      <c r="BD10" s="17">
        <v>9.3145299999999995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heckBox1">
          <controlPr defaultSize="0" autoLine="0" autoPict="0" r:id="rId5">
            <anchor moveWithCells="1">
              <from>
                <xdr:col>4</xdr:col>
                <xdr:colOff>749300</xdr:colOff>
                <xdr:row>3</xdr:row>
                <xdr:rowOff>152400</xdr:rowOff>
              </from>
              <to>
                <xdr:col>6</xdr:col>
                <xdr:colOff>438150</xdr:colOff>
                <xdr:row>6</xdr:row>
                <xdr:rowOff>12700</xdr:rowOff>
              </to>
            </anchor>
          </controlPr>
        </control>
      </mc:Choice>
      <mc:Fallback>
        <control shapeId="3078" r:id="rId4" name="CheckBox1"/>
      </mc:Fallback>
    </mc:AlternateContent>
    <mc:AlternateContent xmlns:mc="http://schemas.openxmlformats.org/markup-compatibility/2006">
      <mc:Choice Requires="x14">
        <control shapeId="3080" r:id="rId6" name="GenieDataShiftColumnCheckBox">
          <controlPr defaultSize="0" autoLine="0" autoPict="0" r:id="rId7">
            <anchor moveWithCells="1">
              <from>
                <xdr:col>8</xdr:col>
                <xdr:colOff>1384300</xdr:colOff>
                <xdr:row>2</xdr:row>
                <xdr:rowOff>127000</xdr:rowOff>
              </from>
              <to>
                <xdr:col>10</xdr:col>
                <xdr:colOff>1181100</xdr:colOff>
                <xdr:row>4</xdr:row>
                <xdr:rowOff>6350</xdr:rowOff>
              </to>
            </anchor>
          </controlPr>
        </control>
      </mc:Choice>
      <mc:Fallback>
        <control shapeId="3080" r:id="rId6" name="GenieDataShiftColumnCheckBox"/>
      </mc:Fallback>
    </mc:AlternateContent>
    <mc:AlternateContent xmlns:mc="http://schemas.openxmlformats.org/markup-compatibility/2006">
      <mc:Choice Requires="x14">
        <control shapeId="3081" r:id="rId8" name="ReadNetPeakAreaChkBox">
          <controlPr defaultSize="0" autoLine="0" autoPict="0" r:id="rId9">
            <anchor moveWithCells="1">
              <from>
                <xdr:col>8</xdr:col>
                <xdr:colOff>1390650</xdr:colOff>
                <xdr:row>4</xdr:row>
                <xdr:rowOff>50800</xdr:rowOff>
              </from>
              <to>
                <xdr:col>11</xdr:col>
                <xdr:colOff>38100</xdr:colOff>
                <xdr:row>6</xdr:row>
                <xdr:rowOff>19050</xdr:rowOff>
              </to>
            </anchor>
          </controlPr>
        </control>
      </mc:Choice>
      <mc:Fallback>
        <control shapeId="3081" r:id="rId8" name="ReadNetPeakAreaChkBox"/>
      </mc:Fallback>
    </mc:AlternateContent>
    <mc:AlternateContent xmlns:mc="http://schemas.openxmlformats.org/markup-compatibility/2006">
      <mc:Choice Requires="x14">
        <control shapeId="1025" r:id="rId10" name="Button 1">
          <controlPr defaultSize="0" print="0" autoFill="0" autoPict="0" macro="[0]!FilePathByBrowse">
            <anchor moveWithCells="1">
              <from>
                <xdr:col>7</xdr:col>
                <xdr:colOff>800100</xdr:colOff>
                <xdr:row>0</xdr:row>
                <xdr:rowOff>44450</xdr:rowOff>
              </from>
              <to>
                <xdr:col>10</xdr:col>
                <xdr:colOff>717550</xdr:colOff>
                <xdr:row>0</xdr:row>
                <xdr:rowOff>311150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ShowNuclideList">
            <anchor moveWithCells="1" sizeWithCells="1">
              <from>
                <xdr:col>7</xdr:col>
                <xdr:colOff>69850</xdr:colOff>
                <xdr:row>2</xdr:row>
                <xdr:rowOff>63500</xdr:rowOff>
              </from>
              <to>
                <xdr:col>8</xdr:col>
                <xdr:colOff>762000</xdr:colOff>
                <xdr:row>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44" r:id="rId12" name="Button 1020">
          <controlPr defaultSize="0" print="0" autoFill="0" autoPict="0" macro="[0]!ImportRPTDataToExcel">
            <anchor moveWithCells="1" sizeWithCells="1">
              <from>
                <xdr:col>0</xdr:col>
                <xdr:colOff>254000</xdr:colOff>
                <xdr:row>2</xdr:row>
                <xdr:rowOff>82550</xdr:rowOff>
              </from>
              <to>
                <xdr:col>4</xdr:col>
                <xdr:colOff>482600</xdr:colOff>
                <xdr:row>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5C08-A020-47FD-B1C0-21CA19A2D470}">
  <sheetPr codeName="Sheet9"/>
  <dimension ref="A8:AD117"/>
  <sheetViews>
    <sheetView topLeftCell="A79" workbookViewId="0">
      <pane xSplit="1" topLeftCell="B1" activePane="topRight" state="frozen"/>
      <selection pane="topRight" activeCell="F88" sqref="F88"/>
    </sheetView>
  </sheetViews>
  <sheetFormatPr defaultRowHeight="14.5" x14ac:dyDescent="0.35"/>
  <cols>
    <col min="1" max="1" width="12.81640625" customWidth="1"/>
    <col min="2" max="3" width="14.7265625" customWidth="1"/>
    <col min="5" max="5" width="14.6328125" customWidth="1"/>
  </cols>
  <sheetData>
    <row r="8" spans="1:24" ht="15" thickBot="1" x14ac:dyDescent="0.4">
      <c r="G8" t="s">
        <v>1</v>
      </c>
      <c r="H8" t="s">
        <v>23</v>
      </c>
      <c r="J8" t="s">
        <v>44</v>
      </c>
      <c r="K8" t="s">
        <v>45</v>
      </c>
      <c r="M8" t="s">
        <v>21</v>
      </c>
      <c r="N8" t="s">
        <v>42</v>
      </c>
      <c r="P8" t="s">
        <v>19</v>
      </c>
      <c r="Q8" t="s">
        <v>41</v>
      </c>
      <c r="S8" t="s">
        <v>63</v>
      </c>
      <c r="T8" t="s">
        <v>64</v>
      </c>
      <c r="V8" t="s">
        <v>65</v>
      </c>
      <c r="W8" t="s">
        <v>66</v>
      </c>
    </row>
    <row r="9" spans="1:24" ht="15" thickBot="1" x14ac:dyDescent="0.4">
      <c r="A9" s="13" t="s">
        <v>30</v>
      </c>
      <c r="B9" s="13" t="s">
        <v>29</v>
      </c>
      <c r="C9" s="13" t="s">
        <v>31</v>
      </c>
      <c r="D9" s="13" t="s">
        <v>27</v>
      </c>
      <c r="E9" s="13" t="s">
        <v>25</v>
      </c>
      <c r="F9" s="21" t="s">
        <v>28</v>
      </c>
      <c r="G9" t="s">
        <v>53</v>
      </c>
      <c r="H9" t="s">
        <v>54</v>
      </c>
      <c r="I9" t="s">
        <v>55</v>
      </c>
      <c r="J9" t="s">
        <v>53</v>
      </c>
      <c r="K9" t="s">
        <v>54</v>
      </c>
      <c r="L9" t="s">
        <v>55</v>
      </c>
      <c r="M9" t="s">
        <v>53</v>
      </c>
      <c r="N9" t="s">
        <v>54</v>
      </c>
      <c r="O9" t="s">
        <v>55</v>
      </c>
      <c r="P9" t="s">
        <v>53</v>
      </c>
      <c r="Q9" t="s">
        <v>54</v>
      </c>
      <c r="R9" t="s">
        <v>55</v>
      </c>
      <c r="S9" t="s">
        <v>53</v>
      </c>
      <c r="T9" t="s">
        <v>54</v>
      </c>
      <c r="U9" t="s">
        <v>55</v>
      </c>
      <c r="V9" t="s">
        <v>53</v>
      </c>
      <c r="W9" t="s">
        <v>54</v>
      </c>
      <c r="X9" t="s">
        <v>55</v>
      </c>
    </row>
    <row r="10" spans="1:24" ht="15" thickBot="1" x14ac:dyDescent="0.4">
      <c r="A10" s="10" t="s">
        <v>52</v>
      </c>
      <c r="B10" s="11" t="s">
        <v>37</v>
      </c>
      <c r="C10" s="11" t="s">
        <v>50</v>
      </c>
      <c r="D10" s="11">
        <v>4.0795999999999999E-2</v>
      </c>
      <c r="E10" s="18">
        <v>44893</v>
      </c>
      <c r="F10" s="22">
        <v>2.0012268518518521</v>
      </c>
      <c r="G10" s="8">
        <v>1442</v>
      </c>
      <c r="H10" s="8">
        <v>75.23</v>
      </c>
      <c r="I10">
        <v>8.3397915630458175E-3</v>
      </c>
      <c r="J10" s="8">
        <v>2117</v>
      </c>
      <c r="K10" s="8">
        <v>272.3</v>
      </c>
      <c r="L10">
        <v>1.2243646837009705E-2</v>
      </c>
      <c r="M10" s="8">
        <v>4362</v>
      </c>
      <c r="N10" s="8">
        <v>255.6</v>
      </c>
      <c r="O10">
        <v>2.5227580303748859E-2</v>
      </c>
      <c r="P10" s="8">
        <v>3016</v>
      </c>
      <c r="Q10" s="8">
        <v>69.94</v>
      </c>
      <c r="R10">
        <v>1.7443003713000126E-2</v>
      </c>
      <c r="S10" s="8">
        <v>540.9</v>
      </c>
      <c r="T10" s="8">
        <v>31.39</v>
      </c>
      <c r="U10">
        <v>3.1282893595363953E-3</v>
      </c>
      <c r="X10">
        <v>0</v>
      </c>
    </row>
    <row r="11" spans="1:24" x14ac:dyDescent="0.35">
      <c r="A11" t="s">
        <v>56</v>
      </c>
      <c r="B11" t="s">
        <v>37</v>
      </c>
      <c r="C11" t="s">
        <v>50</v>
      </c>
      <c r="D11">
        <v>1</v>
      </c>
      <c r="E11" s="1">
        <v>44608</v>
      </c>
      <c r="F11">
        <v>0.11574074074074074</v>
      </c>
      <c r="G11" s="8">
        <v>7500</v>
      </c>
      <c r="H11" s="8">
        <v>88.77</v>
      </c>
      <c r="I11">
        <v>0.75</v>
      </c>
      <c r="J11" s="8">
        <v>7652</v>
      </c>
      <c r="K11" s="8">
        <v>95.37</v>
      </c>
      <c r="L11">
        <v>0.76519999999999999</v>
      </c>
      <c r="M11" s="8">
        <v>32060</v>
      </c>
      <c r="N11" s="8">
        <v>317.2</v>
      </c>
      <c r="O11">
        <v>3.206</v>
      </c>
      <c r="P11" s="8">
        <v>23850</v>
      </c>
      <c r="Q11" s="8">
        <v>155.6</v>
      </c>
      <c r="R11">
        <v>2.3849999999999998</v>
      </c>
      <c r="S11" s="8">
        <v>4930</v>
      </c>
      <c r="T11" s="8">
        <v>72.83</v>
      </c>
      <c r="U11">
        <v>0.49299999999999999</v>
      </c>
      <c r="V11" s="8">
        <v>3954</v>
      </c>
      <c r="W11" s="8">
        <v>63.79</v>
      </c>
      <c r="X11">
        <v>0.39539999999999997</v>
      </c>
    </row>
    <row r="12" spans="1:24" x14ac:dyDescent="0.35">
      <c r="A12" t="s">
        <v>60</v>
      </c>
      <c r="B12" t="s">
        <v>37</v>
      </c>
      <c r="C12" t="s">
        <v>50</v>
      </c>
      <c r="D12">
        <v>5.7541000000000002E-2</v>
      </c>
      <c r="E12" s="1">
        <v>44901</v>
      </c>
      <c r="F12">
        <v>0.11574074074074074</v>
      </c>
      <c r="G12" s="8">
        <v>2013</v>
      </c>
      <c r="H12" s="8">
        <v>79.28</v>
      </c>
      <c r="I12">
        <v>0.20130000000000001</v>
      </c>
      <c r="J12" s="8">
        <v>6128</v>
      </c>
      <c r="K12" s="8">
        <v>97.98</v>
      </c>
      <c r="L12">
        <v>0.61280000000000001</v>
      </c>
      <c r="O12">
        <v>0</v>
      </c>
      <c r="R12">
        <v>0</v>
      </c>
      <c r="U12">
        <v>0</v>
      </c>
      <c r="X12">
        <v>0</v>
      </c>
    </row>
    <row r="13" spans="1:24" x14ac:dyDescent="0.35">
      <c r="A13" t="s">
        <v>58</v>
      </c>
      <c r="B13" t="s">
        <v>37</v>
      </c>
      <c r="C13" t="s">
        <v>50</v>
      </c>
      <c r="D13">
        <v>5.7541000000000002E-2</v>
      </c>
      <c r="E13" s="1">
        <v>44594</v>
      </c>
      <c r="F13">
        <v>1.1574074074074074</v>
      </c>
      <c r="I13">
        <v>0</v>
      </c>
      <c r="L13">
        <v>0</v>
      </c>
      <c r="O13">
        <v>0</v>
      </c>
      <c r="R13">
        <v>0</v>
      </c>
      <c r="U13">
        <v>0</v>
      </c>
      <c r="V13" s="8">
        <v>26.05</v>
      </c>
      <c r="W13" s="8">
        <v>11.95</v>
      </c>
      <c r="X13">
        <v>2.6049999999999999E-4</v>
      </c>
    </row>
    <row r="14" spans="1:24" x14ac:dyDescent="0.35">
      <c r="A14" t="s">
        <v>59</v>
      </c>
      <c r="B14" t="s">
        <v>37</v>
      </c>
      <c r="C14" t="s">
        <v>50</v>
      </c>
      <c r="D14">
        <v>5.0090000000000003E-2</v>
      </c>
      <c r="E14" s="1">
        <v>44596</v>
      </c>
      <c r="F14">
        <v>1.1574074074074074</v>
      </c>
      <c r="G14" s="8">
        <v>1552</v>
      </c>
      <c r="H14" s="8">
        <v>145.5</v>
      </c>
      <c r="I14">
        <v>1.5520000000000001E-2</v>
      </c>
      <c r="J14" s="8">
        <v>3535</v>
      </c>
      <c r="K14" s="8">
        <v>645.5</v>
      </c>
      <c r="L14">
        <v>3.5349999999999999E-2</v>
      </c>
      <c r="M14" s="8">
        <v>8576</v>
      </c>
      <c r="N14" s="8">
        <v>465.7</v>
      </c>
      <c r="O14">
        <v>8.5760000000000003E-2</v>
      </c>
      <c r="P14" s="8">
        <v>5861</v>
      </c>
      <c r="Q14" s="8">
        <v>130.6</v>
      </c>
      <c r="R14">
        <v>5.8610000000000002E-2</v>
      </c>
      <c r="U14">
        <v>0</v>
      </c>
      <c r="X14">
        <v>0</v>
      </c>
    </row>
    <row r="15" spans="1:24" x14ac:dyDescent="0.35">
      <c r="A15" t="s">
        <v>57</v>
      </c>
      <c r="B15" t="s">
        <v>37</v>
      </c>
      <c r="C15" t="s">
        <v>50</v>
      </c>
      <c r="D15">
        <v>5.0090000000000003E-2</v>
      </c>
      <c r="E15" s="1">
        <v>44901</v>
      </c>
      <c r="F15">
        <v>0.11574074074074074</v>
      </c>
      <c r="G15" s="8">
        <v>3295</v>
      </c>
      <c r="H15" s="8">
        <v>103.5</v>
      </c>
      <c r="I15">
        <v>0.32950000000000002</v>
      </c>
      <c r="J15" s="8">
        <v>6547</v>
      </c>
      <c r="K15" s="8">
        <v>114.7</v>
      </c>
      <c r="L15">
        <v>0.65469999999999995</v>
      </c>
      <c r="O15">
        <v>0</v>
      </c>
      <c r="R15">
        <v>0</v>
      </c>
      <c r="U15">
        <v>0</v>
      </c>
      <c r="X15">
        <v>0</v>
      </c>
    </row>
    <row r="16" spans="1:24" s="23" customFormat="1" x14ac:dyDescent="0.35">
      <c r="A16" s="23" t="s">
        <v>61</v>
      </c>
      <c r="B16" s="23" t="s">
        <v>37</v>
      </c>
      <c r="C16" s="23" t="s">
        <v>50</v>
      </c>
      <c r="D16" s="23">
        <v>6.4928E-2</v>
      </c>
      <c r="E16" s="24">
        <v>44592</v>
      </c>
      <c r="F16" s="23">
        <v>1.0919328703703706</v>
      </c>
      <c r="G16" s="25">
        <v>125000</v>
      </c>
      <c r="H16" s="25">
        <v>1288</v>
      </c>
      <c r="I16" s="23">
        <v>1.3249525666981121</v>
      </c>
      <c r="J16" s="25">
        <v>188700</v>
      </c>
      <c r="K16" s="25">
        <v>469.7</v>
      </c>
      <c r="L16" s="23">
        <v>2.0001483946874701</v>
      </c>
      <c r="M16" s="25">
        <v>671300</v>
      </c>
      <c r="N16" s="25">
        <v>1412</v>
      </c>
      <c r="O16" s="23">
        <v>7.1155252641955418</v>
      </c>
      <c r="P16" s="25">
        <v>466200</v>
      </c>
      <c r="Q16" s="25">
        <v>690.3</v>
      </c>
      <c r="R16" s="23">
        <v>4.9415430927572794</v>
      </c>
      <c r="S16" s="25">
        <v>99070</v>
      </c>
      <c r="T16" s="25">
        <v>326.8</v>
      </c>
      <c r="U16" s="23">
        <v>1.0501044062622558</v>
      </c>
      <c r="V16" s="25">
        <v>86170</v>
      </c>
      <c r="W16" s="25">
        <v>297.60000000000002</v>
      </c>
      <c r="X16" s="23">
        <v>0.91336930137901062</v>
      </c>
    </row>
    <row r="17" spans="1:27" x14ac:dyDescent="0.35">
      <c r="A17" t="s">
        <v>62</v>
      </c>
      <c r="B17" t="s">
        <v>37</v>
      </c>
      <c r="C17" t="s">
        <v>50</v>
      </c>
      <c r="D17">
        <v>6.4928E-2</v>
      </c>
      <c r="E17" s="1">
        <v>44608</v>
      </c>
      <c r="F17">
        <v>0.11574074074074074</v>
      </c>
      <c r="G17" s="8">
        <v>16810</v>
      </c>
      <c r="H17" s="8">
        <v>486.8</v>
      </c>
      <c r="I17">
        <v>1.681</v>
      </c>
      <c r="J17" s="8">
        <v>25280</v>
      </c>
      <c r="K17" s="8">
        <v>568</v>
      </c>
      <c r="L17">
        <v>2.528</v>
      </c>
      <c r="M17" s="8">
        <v>94090</v>
      </c>
      <c r="N17" s="8">
        <v>528</v>
      </c>
      <c r="O17">
        <v>9.4090000000000007</v>
      </c>
      <c r="P17" s="8">
        <v>67770</v>
      </c>
      <c r="Q17" s="8">
        <v>262.5</v>
      </c>
      <c r="R17">
        <v>6.7770000000000001</v>
      </c>
      <c r="S17" s="8">
        <v>14390</v>
      </c>
      <c r="T17" s="8">
        <v>124.4</v>
      </c>
      <c r="U17">
        <v>1.4390000000000001</v>
      </c>
      <c r="V17" s="8">
        <v>12340</v>
      </c>
      <c r="W17" s="8">
        <v>112.7</v>
      </c>
      <c r="X17">
        <v>1.234</v>
      </c>
    </row>
    <row r="19" spans="1:27" ht="15" thickBot="1" x14ac:dyDescent="0.4">
      <c r="G19" t="s">
        <v>1</v>
      </c>
      <c r="H19" t="s">
        <v>23</v>
      </c>
      <c r="J19" t="s">
        <v>44</v>
      </c>
      <c r="K19" t="s">
        <v>45</v>
      </c>
      <c r="M19" t="s">
        <v>21</v>
      </c>
      <c r="N19" t="s">
        <v>42</v>
      </c>
      <c r="P19" t="s">
        <v>19</v>
      </c>
      <c r="Q19" t="s">
        <v>41</v>
      </c>
      <c r="S19" t="s">
        <v>63</v>
      </c>
      <c r="T19" t="s">
        <v>64</v>
      </c>
      <c r="V19" t="s">
        <v>65</v>
      </c>
      <c r="W19" t="s">
        <v>66</v>
      </c>
    </row>
    <row r="20" spans="1:27" ht="15" thickBot="1" x14ac:dyDescent="0.4">
      <c r="A20" s="13" t="s">
        <v>30</v>
      </c>
      <c r="B20" s="13" t="s">
        <v>29</v>
      </c>
      <c r="C20" s="13" t="s">
        <v>31</v>
      </c>
      <c r="D20" s="13" t="s">
        <v>27</v>
      </c>
      <c r="E20" s="13" t="s">
        <v>25</v>
      </c>
      <c r="F20" s="21" t="s">
        <v>28</v>
      </c>
      <c r="G20" t="s">
        <v>53</v>
      </c>
      <c r="H20" t="s">
        <v>54</v>
      </c>
      <c r="I20" t="s">
        <v>55</v>
      </c>
      <c r="J20" t="s">
        <v>53</v>
      </c>
      <c r="K20" t="s">
        <v>54</v>
      </c>
      <c r="L20" t="s">
        <v>55</v>
      </c>
      <c r="M20" t="s">
        <v>53</v>
      </c>
      <c r="N20" t="s">
        <v>54</v>
      </c>
      <c r="O20" t="s">
        <v>55</v>
      </c>
      <c r="P20" t="s">
        <v>53</v>
      </c>
      <c r="Q20" t="s">
        <v>54</v>
      </c>
      <c r="R20" t="s">
        <v>55</v>
      </c>
      <c r="S20" t="s">
        <v>53</v>
      </c>
      <c r="T20" t="s">
        <v>54</v>
      </c>
      <c r="U20" t="s">
        <v>55</v>
      </c>
      <c r="V20" t="s">
        <v>53</v>
      </c>
      <c r="W20" t="s">
        <v>54</v>
      </c>
      <c r="X20" t="s">
        <v>55</v>
      </c>
    </row>
    <row r="21" spans="1:27" ht="15" thickBot="1" x14ac:dyDescent="0.4">
      <c r="A21" s="10" t="s">
        <v>52</v>
      </c>
      <c r="B21" s="11" t="s">
        <v>37</v>
      </c>
      <c r="C21" s="11" t="s">
        <v>50</v>
      </c>
      <c r="D21" s="11">
        <v>4.0795999999999999E-2</v>
      </c>
      <c r="E21" s="18">
        <v>44893</v>
      </c>
      <c r="F21" s="22">
        <v>2.0012268518518521</v>
      </c>
      <c r="G21" s="8">
        <v>1442</v>
      </c>
      <c r="H21" s="8">
        <v>75.23</v>
      </c>
      <c r="I21">
        <v>8.3397915630458175E-3</v>
      </c>
      <c r="J21" s="8">
        <v>2117</v>
      </c>
      <c r="K21" s="8">
        <v>272.3</v>
      </c>
      <c r="L21">
        <v>1.2243646837009705E-2</v>
      </c>
      <c r="M21" s="8">
        <v>4362</v>
      </c>
      <c r="N21" s="8">
        <v>255.6</v>
      </c>
      <c r="O21">
        <v>2.5227580303748859E-2</v>
      </c>
      <c r="P21" s="8">
        <v>3016</v>
      </c>
      <c r="Q21" s="8">
        <v>69.94</v>
      </c>
      <c r="R21">
        <v>1.7443003713000126E-2</v>
      </c>
      <c r="S21" s="8">
        <v>540.9</v>
      </c>
      <c r="T21" s="8">
        <v>31.39</v>
      </c>
      <c r="U21">
        <v>3.1282893595363953E-3</v>
      </c>
      <c r="V21" s="8">
        <v>481.9</v>
      </c>
      <c r="W21" s="8">
        <v>10.119999999999999</v>
      </c>
      <c r="X21" s="8">
        <f>V21/$E$21/86400</f>
        <v>1.2424089047950229E-7</v>
      </c>
    </row>
    <row r="22" spans="1:27" x14ac:dyDescent="0.35">
      <c r="A22" t="s">
        <v>56</v>
      </c>
      <c r="B22" t="s">
        <v>37</v>
      </c>
      <c r="C22" t="s">
        <v>50</v>
      </c>
      <c r="D22">
        <v>1</v>
      </c>
      <c r="E22" s="1">
        <v>44608</v>
      </c>
      <c r="F22">
        <v>0.11574074074074074</v>
      </c>
      <c r="G22" s="8">
        <v>7500</v>
      </c>
      <c r="H22" s="8">
        <v>88.77</v>
      </c>
      <c r="I22">
        <v>0.75</v>
      </c>
      <c r="J22" s="8">
        <v>7652</v>
      </c>
      <c r="K22" s="8">
        <v>95.37</v>
      </c>
      <c r="L22">
        <v>0.76519999999999999</v>
      </c>
      <c r="M22" s="8">
        <v>32060</v>
      </c>
      <c r="N22" s="8">
        <v>317.2</v>
      </c>
      <c r="O22">
        <v>3.206</v>
      </c>
      <c r="P22" s="8">
        <v>23850</v>
      </c>
      <c r="Q22" s="8">
        <v>155.6</v>
      </c>
      <c r="R22">
        <v>2.3849999999999998</v>
      </c>
      <c r="S22" s="8">
        <v>4930</v>
      </c>
      <c r="T22" s="8">
        <v>72.83</v>
      </c>
      <c r="U22">
        <v>0.49299999999999999</v>
      </c>
      <c r="V22" s="8">
        <v>3954</v>
      </c>
      <c r="W22" s="8">
        <v>63.79</v>
      </c>
      <c r="X22">
        <v>0.39539999999999997</v>
      </c>
    </row>
    <row r="23" spans="1:27" x14ac:dyDescent="0.35">
      <c r="A23" t="s">
        <v>60</v>
      </c>
      <c r="B23" t="s">
        <v>37</v>
      </c>
      <c r="C23" t="s">
        <v>50</v>
      </c>
      <c r="D23">
        <v>5.7541000000000002E-2</v>
      </c>
      <c r="E23" s="1">
        <v>44901</v>
      </c>
      <c r="F23">
        <v>0.11574074074074074</v>
      </c>
      <c r="G23" s="8">
        <v>2025</v>
      </c>
      <c r="H23" s="8">
        <v>79.38</v>
      </c>
      <c r="I23">
        <v>0.20250000000000001</v>
      </c>
      <c r="J23" s="8">
        <v>6128</v>
      </c>
      <c r="K23" s="8">
        <v>97.98</v>
      </c>
      <c r="L23">
        <v>0.61280000000000001</v>
      </c>
      <c r="M23" s="8">
        <v>31030</v>
      </c>
      <c r="N23" s="8">
        <v>177.9</v>
      </c>
      <c r="O23" s="8">
        <f>M23/$D$23/86400</f>
        <v>6.2415237572951208</v>
      </c>
      <c r="P23" s="8">
        <v>24110</v>
      </c>
      <c r="Q23" s="8">
        <v>254.8</v>
      </c>
      <c r="R23" s="8">
        <f>P23/$E$23/86400</f>
        <v>6.2148042566073349E-6</v>
      </c>
      <c r="S23" s="8">
        <v>5309</v>
      </c>
      <c r="T23" s="8">
        <v>187.7</v>
      </c>
      <c r="U23" s="8">
        <f>S23/$E$23/86400</f>
        <v>1.3684942263927143E-6</v>
      </c>
      <c r="V23" s="8">
        <v>4178</v>
      </c>
      <c r="W23" s="8">
        <v>147.69999999999999</v>
      </c>
      <c r="X23" s="8">
        <f>V23/$E$23/86400</f>
        <v>1.0769577844921378E-6</v>
      </c>
    </row>
    <row r="24" spans="1:27" x14ac:dyDescent="0.35">
      <c r="A24" t="s">
        <v>58</v>
      </c>
      <c r="B24" t="s">
        <v>37</v>
      </c>
      <c r="C24" t="s">
        <v>50</v>
      </c>
      <c r="D24">
        <v>5.7541000000000002E-2</v>
      </c>
      <c r="E24" s="1">
        <v>44594</v>
      </c>
      <c r="F24">
        <v>1.1574074074074074</v>
      </c>
      <c r="I24">
        <v>0</v>
      </c>
      <c r="L24">
        <v>0</v>
      </c>
      <c r="O24">
        <v>0</v>
      </c>
      <c r="R24">
        <v>0</v>
      </c>
      <c r="U24">
        <v>0</v>
      </c>
      <c r="V24" s="8">
        <v>26.05</v>
      </c>
      <c r="W24" s="8">
        <v>11.95</v>
      </c>
      <c r="X24">
        <v>2.6049999999999999E-4</v>
      </c>
    </row>
    <row r="25" spans="1:27" x14ac:dyDescent="0.35">
      <c r="A25" t="s">
        <v>59</v>
      </c>
      <c r="B25" t="s">
        <v>37</v>
      </c>
      <c r="C25" t="s">
        <v>50</v>
      </c>
      <c r="D25">
        <v>5.0090000000000003E-2</v>
      </c>
      <c r="E25" s="1">
        <v>44596</v>
      </c>
      <c r="F25">
        <v>1.1574074074074074</v>
      </c>
      <c r="G25" s="8">
        <v>1552</v>
      </c>
      <c r="H25" s="8">
        <v>145.5</v>
      </c>
      <c r="I25">
        <v>1.5520000000000001E-2</v>
      </c>
      <c r="J25" s="8">
        <v>3535</v>
      </c>
      <c r="K25" s="8">
        <v>645.5</v>
      </c>
      <c r="L25">
        <v>3.5349999999999999E-2</v>
      </c>
      <c r="M25" s="8">
        <v>8576</v>
      </c>
      <c r="N25" s="8">
        <v>465.7</v>
      </c>
      <c r="O25">
        <v>8.5760000000000003E-2</v>
      </c>
      <c r="P25" s="8">
        <v>5861</v>
      </c>
      <c r="Q25" s="8">
        <v>130.6</v>
      </c>
      <c r="R25" s="8">
        <f>P25/$E$25/86400</f>
        <v>1.5211150809074391E-6</v>
      </c>
      <c r="S25" s="8">
        <v>2577</v>
      </c>
      <c r="T25" s="8">
        <v>76.45</v>
      </c>
      <c r="U25" s="8">
        <f>S25/$E$25/86400</f>
        <v>6.6881309733807714E-7</v>
      </c>
      <c r="V25" s="8">
        <v>1116</v>
      </c>
      <c r="W25" s="8">
        <v>53.16</v>
      </c>
      <c r="X25" s="8">
        <f>V25/$E$25/86400</f>
        <v>2.8963733668191464E-7</v>
      </c>
    </row>
    <row r="26" spans="1:27" x14ac:dyDescent="0.35">
      <c r="A26" t="s">
        <v>57</v>
      </c>
      <c r="B26" t="s">
        <v>37</v>
      </c>
      <c r="C26" t="s">
        <v>50</v>
      </c>
      <c r="D26">
        <v>5.0090000000000003E-2</v>
      </c>
      <c r="E26" s="1">
        <v>44901</v>
      </c>
      <c r="F26">
        <v>0.11574074074074074</v>
      </c>
      <c r="G26" s="8">
        <v>3295</v>
      </c>
      <c r="H26" s="8">
        <v>103.5</v>
      </c>
      <c r="I26">
        <v>0.32950000000000002</v>
      </c>
      <c r="J26" s="8">
        <v>6547</v>
      </c>
      <c r="K26" s="8">
        <v>114.7</v>
      </c>
      <c r="L26">
        <v>0.65469999999999995</v>
      </c>
      <c r="M26" s="8">
        <v>33110</v>
      </c>
      <c r="N26" s="8">
        <v>186.2</v>
      </c>
      <c r="O26" s="8">
        <f>M26/$E$26/86400</f>
        <v>8.53472289242094E-6</v>
      </c>
      <c r="P26" s="8">
        <v>25770</v>
      </c>
      <c r="Q26" s="8">
        <v>155.6</v>
      </c>
      <c r="R26" s="8">
        <f>P26/$E$26/86400</f>
        <v>6.6427003605462875E-6</v>
      </c>
      <c r="S26" s="8">
        <v>5459</v>
      </c>
      <c r="T26" s="8">
        <v>114.9</v>
      </c>
      <c r="U26" s="8">
        <f>S26/$E$26/86400</f>
        <v>1.4071595369896077E-6</v>
      </c>
      <c r="V26" s="8">
        <v>4476</v>
      </c>
      <c r="W26" s="8">
        <v>89.56</v>
      </c>
      <c r="X26" s="8">
        <f>V26/$E$26/86400</f>
        <v>1.1537728682112995E-6</v>
      </c>
    </row>
    <row r="27" spans="1:27" x14ac:dyDescent="0.35">
      <c r="A27" t="s">
        <v>61</v>
      </c>
      <c r="B27" t="s">
        <v>37</v>
      </c>
      <c r="C27" t="s">
        <v>50</v>
      </c>
      <c r="D27">
        <v>6.4928E-2</v>
      </c>
      <c r="E27" s="1">
        <v>44592</v>
      </c>
      <c r="F27">
        <v>1.0919328703703706</v>
      </c>
      <c r="G27" s="8">
        <v>125000</v>
      </c>
      <c r="H27" s="8">
        <v>1288</v>
      </c>
      <c r="I27">
        <v>1.3249525666981121</v>
      </c>
      <c r="J27" s="8">
        <v>188700</v>
      </c>
      <c r="K27" s="8">
        <v>469.7</v>
      </c>
      <c r="L27">
        <v>2.0001483946874701</v>
      </c>
      <c r="M27" s="8">
        <v>671300</v>
      </c>
      <c r="N27" s="8">
        <v>1412</v>
      </c>
      <c r="O27">
        <v>7.1155252641955418</v>
      </c>
      <c r="P27" s="8">
        <v>466200</v>
      </c>
      <c r="Q27" s="8">
        <v>690.3</v>
      </c>
      <c r="R27">
        <v>4.9415430927572794</v>
      </c>
      <c r="S27" s="8">
        <v>99070</v>
      </c>
      <c r="T27" s="8">
        <v>326.8</v>
      </c>
      <c r="U27">
        <v>1.0501044062622558</v>
      </c>
      <c r="V27" s="8">
        <v>86170</v>
      </c>
      <c r="W27" s="8">
        <v>297.60000000000002</v>
      </c>
      <c r="X27">
        <v>0.91336930137901062</v>
      </c>
    </row>
    <row r="28" spans="1:27" x14ac:dyDescent="0.35">
      <c r="A28" t="s">
        <v>62</v>
      </c>
      <c r="B28" t="s">
        <v>37</v>
      </c>
      <c r="C28" t="s">
        <v>50</v>
      </c>
      <c r="D28">
        <v>6.4928E-2</v>
      </c>
      <c r="E28" s="1">
        <v>44608</v>
      </c>
      <c r="F28">
        <v>0.11574074074074074</v>
      </c>
      <c r="G28" s="8">
        <v>16810</v>
      </c>
      <c r="H28" s="8">
        <v>486.8</v>
      </c>
      <c r="I28">
        <v>1.681</v>
      </c>
      <c r="J28" s="8">
        <v>25280</v>
      </c>
      <c r="K28" s="8">
        <v>568</v>
      </c>
      <c r="L28">
        <v>2.528</v>
      </c>
      <c r="M28" s="8">
        <v>94090</v>
      </c>
      <c r="N28" s="8">
        <v>528</v>
      </c>
      <c r="O28">
        <v>9.4090000000000007</v>
      </c>
      <c r="P28" s="8">
        <v>67770</v>
      </c>
      <c r="Q28" s="8">
        <v>262.5</v>
      </c>
      <c r="R28">
        <v>6.7770000000000001</v>
      </c>
      <c r="S28" s="8">
        <v>14390</v>
      </c>
      <c r="T28" s="8">
        <v>124.4</v>
      </c>
      <c r="U28">
        <v>1.4390000000000001</v>
      </c>
      <c r="V28" s="8">
        <v>12340</v>
      </c>
      <c r="W28" s="8">
        <v>112.7</v>
      </c>
      <c r="X28">
        <v>1.234</v>
      </c>
    </row>
    <row r="30" spans="1:27" ht="15" thickBot="1" x14ac:dyDescent="0.4">
      <c r="F30">
        <f>F21*86400</f>
        <v>172906.00000000003</v>
      </c>
      <c r="G30" t="s">
        <v>18</v>
      </c>
      <c r="H30" t="s">
        <v>24</v>
      </c>
      <c r="J30" t="s">
        <v>1</v>
      </c>
      <c r="K30" t="s">
        <v>23</v>
      </c>
      <c r="M30" t="s">
        <v>19</v>
      </c>
      <c r="N30" t="s">
        <v>41</v>
      </c>
      <c r="P30" t="s">
        <v>63</v>
      </c>
      <c r="Q30" t="s">
        <v>64</v>
      </c>
      <c r="S30" t="s">
        <v>65</v>
      </c>
      <c r="T30" t="s">
        <v>66</v>
      </c>
      <c r="V30" t="s">
        <v>21</v>
      </c>
      <c r="W30" t="s">
        <v>42</v>
      </c>
      <c r="Y30" t="s">
        <v>44</v>
      </c>
      <c r="Z30" t="s">
        <v>45</v>
      </c>
    </row>
    <row r="31" spans="1:27" ht="15" thickBot="1" x14ac:dyDescent="0.4">
      <c r="A31" s="13" t="s">
        <v>30</v>
      </c>
      <c r="B31" s="13" t="s">
        <v>29</v>
      </c>
      <c r="C31" s="13" t="s">
        <v>31</v>
      </c>
      <c r="D31" s="13" t="s">
        <v>27</v>
      </c>
      <c r="E31" s="13" t="s">
        <v>25</v>
      </c>
      <c r="F31" s="21" t="s">
        <v>28</v>
      </c>
      <c r="G31" t="s">
        <v>53</v>
      </c>
      <c r="H31" t="s">
        <v>54</v>
      </c>
      <c r="I31" t="s">
        <v>55</v>
      </c>
      <c r="J31" t="s">
        <v>53</v>
      </c>
      <c r="K31" t="s">
        <v>54</v>
      </c>
      <c r="L31" t="s">
        <v>55</v>
      </c>
      <c r="M31" t="s">
        <v>53</v>
      </c>
      <c r="N31" t="s">
        <v>54</v>
      </c>
      <c r="O31" t="s">
        <v>55</v>
      </c>
      <c r="P31" t="s">
        <v>53</v>
      </c>
      <c r="Q31" t="s">
        <v>54</v>
      </c>
      <c r="R31" t="s">
        <v>55</v>
      </c>
      <c r="S31" t="s">
        <v>53</v>
      </c>
      <c r="T31" t="s">
        <v>54</v>
      </c>
      <c r="U31" t="s">
        <v>55</v>
      </c>
      <c r="V31" t="s">
        <v>53</v>
      </c>
      <c r="W31" t="s">
        <v>54</v>
      </c>
      <c r="X31" t="s">
        <v>55</v>
      </c>
      <c r="Y31" t="s">
        <v>53</v>
      </c>
      <c r="Z31" t="s">
        <v>54</v>
      </c>
      <c r="AA31" t="s">
        <v>55</v>
      </c>
    </row>
    <row r="32" spans="1:27" ht="15" thickBot="1" x14ac:dyDescent="0.4">
      <c r="A32" s="10" t="s">
        <v>52</v>
      </c>
      <c r="B32" s="11" t="s">
        <v>37</v>
      </c>
      <c r="C32" s="11" t="s">
        <v>50</v>
      </c>
      <c r="D32" s="11">
        <v>4.0795999999999999E-2</v>
      </c>
      <c r="E32" s="18">
        <v>44893</v>
      </c>
      <c r="F32" s="22">
        <v>2.0012268518518521</v>
      </c>
      <c r="I32">
        <v>0</v>
      </c>
      <c r="J32" s="8">
        <v>1442</v>
      </c>
      <c r="K32" s="8">
        <v>75.23</v>
      </c>
      <c r="L32">
        <v>8.3397915630458175E-3</v>
      </c>
      <c r="M32" s="8">
        <v>3016</v>
      </c>
      <c r="N32" s="8">
        <v>69.94</v>
      </c>
      <c r="O32">
        <v>1.7443003713000126E-2</v>
      </c>
      <c r="P32" s="8">
        <v>540.9</v>
      </c>
      <c r="Q32" s="8">
        <v>31.39</v>
      </c>
      <c r="R32">
        <v>3.1282893595363953E-3</v>
      </c>
      <c r="U32">
        <v>0</v>
      </c>
      <c r="V32" s="8">
        <v>4362</v>
      </c>
      <c r="W32" s="8">
        <v>255.6</v>
      </c>
      <c r="X32">
        <v>2.5227580303748859E-2</v>
      </c>
      <c r="Y32" s="8">
        <v>2117</v>
      </c>
      <c r="Z32" s="8">
        <v>272.3</v>
      </c>
      <c r="AA32">
        <v>1.2243646837009705E-2</v>
      </c>
    </row>
    <row r="33" spans="1:27" x14ac:dyDescent="0.35">
      <c r="A33" t="s">
        <v>56</v>
      </c>
      <c r="B33" t="s">
        <v>37</v>
      </c>
      <c r="C33" t="s">
        <v>50</v>
      </c>
      <c r="D33">
        <v>1</v>
      </c>
      <c r="E33" s="1">
        <v>44608</v>
      </c>
      <c r="F33">
        <v>0.11574074074074074</v>
      </c>
      <c r="I33">
        <v>0</v>
      </c>
      <c r="J33" s="8">
        <v>7500</v>
      </c>
      <c r="K33" s="8">
        <v>88.77</v>
      </c>
      <c r="L33">
        <v>0.75</v>
      </c>
      <c r="M33" s="8">
        <v>23850</v>
      </c>
      <c r="N33" s="8">
        <v>155.6</v>
      </c>
      <c r="O33">
        <v>2.3849999999999998</v>
      </c>
      <c r="P33" s="8">
        <v>4930</v>
      </c>
      <c r="Q33" s="8">
        <v>72.83</v>
      </c>
      <c r="R33">
        <v>0.49299999999999999</v>
      </c>
      <c r="S33" s="8">
        <v>3954</v>
      </c>
      <c r="T33" s="8">
        <v>63.79</v>
      </c>
      <c r="U33">
        <v>0.39539999999999997</v>
      </c>
      <c r="V33" s="8">
        <v>32060</v>
      </c>
      <c r="W33" s="8">
        <v>317.2</v>
      </c>
      <c r="X33">
        <v>3.206</v>
      </c>
      <c r="Y33" s="8">
        <v>7652</v>
      </c>
      <c r="Z33" s="8">
        <v>95.37</v>
      </c>
      <c r="AA33">
        <v>0.76519999999999999</v>
      </c>
    </row>
    <row r="34" spans="1:27" x14ac:dyDescent="0.35">
      <c r="A34" t="s">
        <v>60</v>
      </c>
      <c r="B34" t="s">
        <v>37</v>
      </c>
      <c r="C34" t="s">
        <v>50</v>
      </c>
      <c r="D34">
        <v>5.7541000000000002E-2</v>
      </c>
      <c r="E34" s="1">
        <v>44901</v>
      </c>
      <c r="F34">
        <v>0.11574074074074074</v>
      </c>
      <c r="I34">
        <v>0</v>
      </c>
      <c r="J34" s="8">
        <v>2025</v>
      </c>
      <c r="K34" s="8">
        <v>79.38</v>
      </c>
      <c r="L34">
        <v>0.20250000000000001</v>
      </c>
      <c r="O34">
        <v>0</v>
      </c>
      <c r="R34">
        <v>0</v>
      </c>
      <c r="U34">
        <v>0</v>
      </c>
      <c r="X34">
        <v>0</v>
      </c>
      <c r="Y34" s="8">
        <v>6128</v>
      </c>
      <c r="Z34" s="8">
        <v>97.98</v>
      </c>
      <c r="AA34">
        <v>0.61280000000000001</v>
      </c>
    </row>
    <row r="35" spans="1:27" x14ac:dyDescent="0.35">
      <c r="A35" t="s">
        <v>58</v>
      </c>
      <c r="B35" t="s">
        <v>37</v>
      </c>
      <c r="C35" t="s">
        <v>50</v>
      </c>
      <c r="D35">
        <v>5.7541000000000002E-2</v>
      </c>
      <c r="E35" s="1">
        <v>44594</v>
      </c>
      <c r="F35">
        <v>1.1574074074074074</v>
      </c>
      <c r="G35" s="8">
        <v>185800</v>
      </c>
      <c r="H35" s="8">
        <v>433.1</v>
      </c>
      <c r="I35">
        <v>1.8580000000000001</v>
      </c>
      <c r="L35">
        <v>0</v>
      </c>
      <c r="O35">
        <v>0</v>
      </c>
      <c r="R35">
        <v>0</v>
      </c>
      <c r="S35" s="8">
        <v>26.05</v>
      </c>
      <c r="T35" s="8">
        <v>11.95</v>
      </c>
      <c r="U35">
        <v>2.6049999999999999E-4</v>
      </c>
      <c r="X35">
        <v>0</v>
      </c>
      <c r="AA35">
        <v>0</v>
      </c>
    </row>
    <row r="36" spans="1:27" x14ac:dyDescent="0.35">
      <c r="A36" t="s">
        <v>59</v>
      </c>
      <c r="B36" t="s">
        <v>37</v>
      </c>
      <c r="C36" t="s">
        <v>50</v>
      </c>
      <c r="D36">
        <v>5.0090000000000003E-2</v>
      </c>
      <c r="E36" s="1">
        <v>44596</v>
      </c>
      <c r="F36">
        <v>1.1574074074074074</v>
      </c>
      <c r="I36">
        <v>0</v>
      </c>
      <c r="J36" s="8">
        <v>1552</v>
      </c>
      <c r="K36" s="8">
        <v>145.5</v>
      </c>
      <c r="L36">
        <v>1.5520000000000001E-2</v>
      </c>
      <c r="M36" s="8">
        <v>5861</v>
      </c>
      <c r="N36" s="8">
        <v>130.6</v>
      </c>
      <c r="O36">
        <v>5.8610000000000002E-2</v>
      </c>
      <c r="R36">
        <v>0</v>
      </c>
      <c r="U36">
        <v>0</v>
      </c>
      <c r="V36" s="8">
        <v>8576</v>
      </c>
      <c r="W36" s="8">
        <v>465.7</v>
      </c>
      <c r="X36">
        <v>8.5760000000000003E-2</v>
      </c>
      <c r="Y36" s="8">
        <v>3535</v>
      </c>
      <c r="Z36" s="8">
        <v>645.5</v>
      </c>
      <c r="AA36">
        <v>3.5349999999999999E-2</v>
      </c>
    </row>
    <row r="37" spans="1:27" x14ac:dyDescent="0.35">
      <c r="A37" t="s">
        <v>57</v>
      </c>
      <c r="B37" t="s">
        <v>37</v>
      </c>
      <c r="C37" t="s">
        <v>50</v>
      </c>
      <c r="D37">
        <v>5.0090000000000003E-2</v>
      </c>
      <c r="E37" s="1">
        <v>44901</v>
      </c>
      <c r="F37">
        <v>0.11574074074074074</v>
      </c>
      <c r="I37">
        <v>0</v>
      </c>
      <c r="J37" s="8">
        <v>3295</v>
      </c>
      <c r="K37" s="8">
        <v>103.5</v>
      </c>
      <c r="L37">
        <v>0.32950000000000002</v>
      </c>
      <c r="O37">
        <v>0</v>
      </c>
      <c r="R37">
        <v>0</v>
      </c>
      <c r="U37">
        <v>0</v>
      </c>
      <c r="X37">
        <v>0</v>
      </c>
      <c r="Y37" s="8">
        <v>6547</v>
      </c>
      <c r="Z37" s="8">
        <v>114.7</v>
      </c>
      <c r="AA37">
        <v>0.65469999999999995</v>
      </c>
    </row>
    <row r="38" spans="1:27" x14ac:dyDescent="0.35">
      <c r="A38" t="s">
        <v>61</v>
      </c>
      <c r="B38" t="s">
        <v>37</v>
      </c>
      <c r="C38" t="s">
        <v>50</v>
      </c>
      <c r="D38">
        <v>6.4928E-2</v>
      </c>
      <c r="E38" s="1">
        <v>44592</v>
      </c>
      <c r="F38">
        <v>1.0919328703703706</v>
      </c>
      <c r="I38">
        <v>0</v>
      </c>
      <c r="J38" s="8">
        <v>125000</v>
      </c>
      <c r="K38" s="8">
        <v>1288</v>
      </c>
      <c r="L38">
        <v>1.3249525666981121</v>
      </c>
      <c r="M38" s="8">
        <v>466200</v>
      </c>
      <c r="N38" s="8">
        <v>690.3</v>
      </c>
      <c r="O38">
        <v>4.9415430927572794</v>
      </c>
      <c r="P38" s="8">
        <v>99070</v>
      </c>
      <c r="Q38" s="8">
        <v>326.8</v>
      </c>
      <c r="R38">
        <v>1.0501044062622558</v>
      </c>
      <c r="S38" s="8">
        <v>86170</v>
      </c>
      <c r="T38" s="8">
        <v>297.60000000000002</v>
      </c>
      <c r="U38">
        <v>0.91336930137901062</v>
      </c>
      <c r="V38" s="8">
        <v>671300</v>
      </c>
      <c r="W38" s="8">
        <v>1412</v>
      </c>
      <c r="X38">
        <v>7.1155252641955418</v>
      </c>
      <c r="Y38" s="8">
        <v>188700</v>
      </c>
      <c r="Z38" s="8">
        <v>469.7</v>
      </c>
      <c r="AA38">
        <v>2.0001483946874701</v>
      </c>
    </row>
    <row r="39" spans="1:27" x14ac:dyDescent="0.35">
      <c r="A39" t="s">
        <v>62</v>
      </c>
      <c r="B39" t="s">
        <v>37</v>
      </c>
      <c r="C39" t="s">
        <v>50</v>
      </c>
      <c r="D39">
        <v>6.4928E-2</v>
      </c>
      <c r="E39" s="1">
        <v>44608</v>
      </c>
      <c r="F39">
        <v>0.11574074074074074</v>
      </c>
      <c r="I39">
        <v>0</v>
      </c>
      <c r="J39" s="8">
        <v>16810</v>
      </c>
      <c r="K39" s="8">
        <v>486.8</v>
      </c>
      <c r="L39">
        <v>1.681</v>
      </c>
      <c r="M39" s="8">
        <v>67770</v>
      </c>
      <c r="N39" s="8">
        <v>262.5</v>
      </c>
      <c r="O39">
        <v>6.7770000000000001</v>
      </c>
      <c r="P39" s="8">
        <v>14390</v>
      </c>
      <c r="Q39" s="8">
        <v>124.4</v>
      </c>
      <c r="R39">
        <v>1.4390000000000001</v>
      </c>
      <c r="S39" s="8">
        <v>12340</v>
      </c>
      <c r="T39" s="8">
        <v>112.7</v>
      </c>
      <c r="U39">
        <v>1.234</v>
      </c>
      <c r="V39" s="8">
        <v>94090</v>
      </c>
      <c r="W39" s="8">
        <v>528</v>
      </c>
      <c r="X39">
        <v>9.4090000000000007</v>
      </c>
      <c r="Y39" s="8">
        <v>25280</v>
      </c>
      <c r="Z39" s="8">
        <v>568</v>
      </c>
      <c r="AA39">
        <v>2.528</v>
      </c>
    </row>
    <row r="40" spans="1:27" x14ac:dyDescent="0.35">
      <c r="A40" t="s">
        <v>67</v>
      </c>
      <c r="B40" t="s">
        <v>37</v>
      </c>
      <c r="C40" t="s">
        <v>50</v>
      </c>
      <c r="D40">
        <v>2.6936000000000002E-2</v>
      </c>
      <c r="E40" s="1">
        <v>44895</v>
      </c>
      <c r="F40">
        <v>1.0596064814814814</v>
      </c>
      <c r="I40">
        <v>0</v>
      </c>
      <c r="J40" s="8">
        <v>2212</v>
      </c>
      <c r="K40" s="8">
        <v>72.89</v>
      </c>
      <c r="L40">
        <v>2.4161660294920808E-2</v>
      </c>
      <c r="M40" s="8">
        <v>2082</v>
      </c>
      <c r="N40" s="8">
        <v>54.25</v>
      </c>
      <c r="O40">
        <v>2.2741671217913709E-2</v>
      </c>
      <c r="R40">
        <v>0</v>
      </c>
      <c r="U40">
        <v>0</v>
      </c>
      <c r="V40" s="8">
        <v>2790</v>
      </c>
      <c r="W40" s="8">
        <v>87.71</v>
      </c>
      <c r="X40">
        <v>3.0475150191152375E-2</v>
      </c>
      <c r="Y40" s="8">
        <v>1289</v>
      </c>
      <c r="Z40" s="8">
        <v>224.7</v>
      </c>
      <c r="AA40">
        <v>1.4079737848170399E-2</v>
      </c>
    </row>
    <row r="42" spans="1:27" ht="15" thickBot="1" x14ac:dyDescent="0.4">
      <c r="G42" t="s">
        <v>1</v>
      </c>
      <c r="H42" t="s">
        <v>23</v>
      </c>
      <c r="J42" t="s">
        <v>44</v>
      </c>
      <c r="K42" t="s">
        <v>45</v>
      </c>
      <c r="M42" t="s">
        <v>21</v>
      </c>
      <c r="N42" t="s">
        <v>42</v>
      </c>
      <c r="P42" t="s">
        <v>19</v>
      </c>
      <c r="Q42" t="s">
        <v>41</v>
      </c>
      <c r="S42" t="s">
        <v>63</v>
      </c>
      <c r="T42" t="s">
        <v>64</v>
      </c>
      <c r="V42" t="s">
        <v>65</v>
      </c>
      <c r="W42" t="s">
        <v>66</v>
      </c>
    </row>
    <row r="43" spans="1:27" ht="15" thickBot="1" x14ac:dyDescent="0.4">
      <c r="A43" s="13" t="s">
        <v>30</v>
      </c>
      <c r="B43" s="13" t="s">
        <v>29</v>
      </c>
      <c r="C43" s="13" t="s">
        <v>31</v>
      </c>
      <c r="D43" s="13" t="s">
        <v>27</v>
      </c>
      <c r="E43" s="13" t="s">
        <v>25</v>
      </c>
      <c r="F43" s="21" t="s">
        <v>28</v>
      </c>
      <c r="G43" t="s">
        <v>53</v>
      </c>
      <c r="H43" t="s">
        <v>54</v>
      </c>
      <c r="I43" t="s">
        <v>55</v>
      </c>
      <c r="J43" t="s">
        <v>53</v>
      </c>
      <c r="K43" t="s">
        <v>54</v>
      </c>
      <c r="L43" t="s">
        <v>55</v>
      </c>
      <c r="M43" t="s">
        <v>53</v>
      </c>
      <c r="N43" t="s">
        <v>54</v>
      </c>
      <c r="O43" t="s">
        <v>55</v>
      </c>
      <c r="P43" t="s">
        <v>53</v>
      </c>
      <c r="Q43" t="s">
        <v>54</v>
      </c>
      <c r="R43" t="s">
        <v>55</v>
      </c>
      <c r="S43" t="s">
        <v>53</v>
      </c>
      <c r="T43" t="s">
        <v>54</v>
      </c>
      <c r="U43" t="s">
        <v>55</v>
      </c>
      <c r="V43" t="s">
        <v>53</v>
      </c>
      <c r="W43" t="s">
        <v>54</v>
      </c>
      <c r="X43" t="s">
        <v>55</v>
      </c>
    </row>
    <row r="44" spans="1:27" ht="15" thickBot="1" x14ac:dyDescent="0.4">
      <c r="A44" s="10" t="s">
        <v>52</v>
      </c>
      <c r="B44" s="11" t="s">
        <v>37</v>
      </c>
      <c r="C44" s="11" t="s">
        <v>50</v>
      </c>
      <c r="D44" s="11">
        <v>4.0795999999999999E-2</v>
      </c>
      <c r="E44" s="18">
        <v>44893</v>
      </c>
      <c r="F44" s="22">
        <v>2.0012268518518521</v>
      </c>
      <c r="G44" s="8">
        <v>1442</v>
      </c>
      <c r="H44" s="8">
        <v>75.23</v>
      </c>
      <c r="I44">
        <v>8.3397915630458175E-3</v>
      </c>
      <c r="J44" s="8">
        <v>2117</v>
      </c>
      <c r="K44" s="8">
        <v>272.3</v>
      </c>
      <c r="L44">
        <v>1.2243646837009705E-2</v>
      </c>
      <c r="M44" s="8">
        <v>4362</v>
      </c>
      <c r="N44" s="8">
        <v>255.6</v>
      </c>
      <c r="O44">
        <v>2.5227580303748859E-2</v>
      </c>
      <c r="P44" s="8">
        <v>3016</v>
      </c>
      <c r="Q44" s="8">
        <v>69.94</v>
      </c>
      <c r="R44">
        <v>1.7443003713000126E-2</v>
      </c>
      <c r="S44" s="8">
        <v>540.9</v>
      </c>
      <c r="T44" s="8">
        <v>31.39</v>
      </c>
      <c r="U44">
        <v>3.1282893595363953E-3</v>
      </c>
      <c r="X44">
        <v>0</v>
      </c>
    </row>
    <row r="45" spans="1:27" x14ac:dyDescent="0.35">
      <c r="A45" t="s">
        <v>56</v>
      </c>
      <c r="B45" t="s">
        <v>37</v>
      </c>
      <c r="C45" t="s">
        <v>50</v>
      </c>
      <c r="D45">
        <v>1</v>
      </c>
      <c r="E45" s="1">
        <v>44608</v>
      </c>
      <c r="F45">
        <v>0.11574074074074074</v>
      </c>
      <c r="G45" s="8">
        <v>7500</v>
      </c>
      <c r="H45" s="8">
        <v>88.77</v>
      </c>
      <c r="I45">
        <v>0.75</v>
      </c>
      <c r="J45" s="8">
        <v>7652</v>
      </c>
      <c r="K45" s="8">
        <v>95.37</v>
      </c>
      <c r="L45">
        <v>0.76519999999999999</v>
      </c>
      <c r="M45" s="8">
        <v>32060</v>
      </c>
      <c r="N45" s="8">
        <v>317.2</v>
      </c>
      <c r="O45">
        <v>3.206</v>
      </c>
      <c r="P45" s="8">
        <v>23850</v>
      </c>
      <c r="Q45" s="8">
        <v>155.6</v>
      </c>
      <c r="R45">
        <v>2.3849999999999998</v>
      </c>
      <c r="S45" s="8">
        <v>4930</v>
      </c>
      <c r="T45" s="8">
        <v>72.83</v>
      </c>
      <c r="U45">
        <v>0.49299999999999999</v>
      </c>
      <c r="V45" s="8">
        <v>3954</v>
      </c>
      <c r="W45" s="8">
        <v>63.79</v>
      </c>
      <c r="X45">
        <v>0.39539999999999997</v>
      </c>
    </row>
    <row r="46" spans="1:27" x14ac:dyDescent="0.35">
      <c r="A46" t="s">
        <v>60</v>
      </c>
      <c r="B46" t="s">
        <v>37</v>
      </c>
      <c r="C46" t="s">
        <v>50</v>
      </c>
      <c r="D46">
        <v>5.7541000000000002E-2</v>
      </c>
      <c r="E46" s="1">
        <v>44901</v>
      </c>
      <c r="F46">
        <v>0.11574074074074074</v>
      </c>
      <c r="G46" s="8">
        <v>2025</v>
      </c>
      <c r="H46" s="8">
        <v>79.38</v>
      </c>
      <c r="I46">
        <v>0.20250000000000001</v>
      </c>
      <c r="J46" s="8">
        <v>6128</v>
      </c>
      <c r="K46" s="8">
        <v>97.98</v>
      </c>
      <c r="L46">
        <v>0.61280000000000001</v>
      </c>
      <c r="O46">
        <v>0</v>
      </c>
      <c r="R46">
        <v>0</v>
      </c>
      <c r="U46">
        <v>0</v>
      </c>
      <c r="X46">
        <v>0</v>
      </c>
    </row>
    <row r="47" spans="1:27" x14ac:dyDescent="0.35">
      <c r="A47" t="s">
        <v>58</v>
      </c>
      <c r="B47" t="s">
        <v>37</v>
      </c>
      <c r="C47" t="s">
        <v>50</v>
      </c>
      <c r="D47">
        <v>5.7541000000000002E-2</v>
      </c>
      <c r="E47" s="1">
        <v>44594</v>
      </c>
      <c r="F47">
        <v>1.1574074074074074</v>
      </c>
      <c r="I47">
        <v>0</v>
      </c>
      <c r="L47">
        <v>0</v>
      </c>
      <c r="O47">
        <v>0</v>
      </c>
      <c r="R47">
        <v>0</v>
      </c>
      <c r="U47">
        <v>0</v>
      </c>
      <c r="V47" s="8">
        <v>26.05</v>
      </c>
      <c r="W47" s="8">
        <v>11.95</v>
      </c>
      <c r="X47">
        <v>2.6049999999999999E-4</v>
      </c>
    </row>
    <row r="48" spans="1:27" x14ac:dyDescent="0.35">
      <c r="A48" t="s">
        <v>59</v>
      </c>
      <c r="B48" t="s">
        <v>37</v>
      </c>
      <c r="C48" t="s">
        <v>50</v>
      </c>
      <c r="D48">
        <v>5.0090000000000003E-2</v>
      </c>
      <c r="E48" s="1">
        <v>44596</v>
      </c>
      <c r="F48">
        <v>1.1574074074074074</v>
      </c>
      <c r="G48" s="8">
        <v>1552</v>
      </c>
      <c r="H48" s="8">
        <v>145.5</v>
      </c>
      <c r="I48">
        <v>1.5520000000000001E-2</v>
      </c>
      <c r="J48" s="8">
        <v>3535</v>
      </c>
      <c r="K48" s="8">
        <v>645.5</v>
      </c>
      <c r="L48">
        <v>3.5349999999999999E-2</v>
      </c>
      <c r="M48" s="8">
        <v>8576</v>
      </c>
      <c r="N48" s="8">
        <v>465.7</v>
      </c>
      <c r="O48">
        <v>8.5760000000000003E-2</v>
      </c>
      <c r="P48" s="8">
        <v>5861</v>
      </c>
      <c r="Q48" s="8">
        <v>130.6</v>
      </c>
      <c r="R48">
        <v>5.8610000000000002E-2</v>
      </c>
      <c r="U48">
        <v>0</v>
      </c>
      <c r="X48">
        <v>0</v>
      </c>
    </row>
    <row r="49" spans="1:27" x14ac:dyDescent="0.35">
      <c r="A49" t="s">
        <v>57</v>
      </c>
      <c r="B49" t="s">
        <v>37</v>
      </c>
      <c r="C49" t="s">
        <v>50</v>
      </c>
      <c r="D49">
        <v>5.0090000000000003E-2</v>
      </c>
      <c r="E49" s="1">
        <v>44901</v>
      </c>
      <c r="F49">
        <v>0.11574074074074074</v>
      </c>
      <c r="G49" s="8">
        <v>3295</v>
      </c>
      <c r="H49" s="8">
        <v>103.5</v>
      </c>
      <c r="I49">
        <v>0.32950000000000002</v>
      </c>
      <c r="J49" s="8">
        <v>6547</v>
      </c>
      <c r="K49" s="8">
        <v>114.7</v>
      </c>
      <c r="L49">
        <v>0.65469999999999995</v>
      </c>
      <c r="O49">
        <v>0</v>
      </c>
      <c r="R49">
        <v>0</v>
      </c>
      <c r="U49">
        <v>0</v>
      </c>
      <c r="X49">
        <v>0</v>
      </c>
    </row>
    <row r="50" spans="1:27" x14ac:dyDescent="0.35">
      <c r="A50" t="s">
        <v>61</v>
      </c>
      <c r="B50" t="s">
        <v>37</v>
      </c>
      <c r="C50" t="s">
        <v>50</v>
      </c>
      <c r="D50">
        <v>6.4928E-2</v>
      </c>
      <c r="E50" s="1">
        <v>44592</v>
      </c>
      <c r="F50">
        <v>1.0919328703703706</v>
      </c>
      <c r="G50" s="8">
        <v>125000</v>
      </c>
      <c r="H50" s="8">
        <v>1288</v>
      </c>
      <c r="I50">
        <v>1.3249525666981121</v>
      </c>
      <c r="J50" s="8">
        <v>188700</v>
      </c>
      <c r="K50" s="8">
        <v>469.7</v>
      </c>
      <c r="L50">
        <v>2.0001483946874701</v>
      </c>
      <c r="M50" s="8">
        <v>671300</v>
      </c>
      <c r="N50" s="8">
        <v>1412</v>
      </c>
      <c r="O50">
        <v>7.1155252641955418</v>
      </c>
      <c r="P50" s="8">
        <v>466200</v>
      </c>
      <c r="Q50" s="8">
        <v>690.3</v>
      </c>
      <c r="R50">
        <v>4.9415430927572794</v>
      </c>
      <c r="S50" s="8">
        <v>99070</v>
      </c>
      <c r="T50" s="8">
        <v>326.8</v>
      </c>
      <c r="U50">
        <v>1.0501044062622558</v>
      </c>
      <c r="V50" s="8">
        <v>86170</v>
      </c>
      <c r="W50" s="8">
        <v>297.60000000000002</v>
      </c>
      <c r="X50">
        <v>0.91336930137901062</v>
      </c>
    </row>
    <row r="51" spans="1:27" x14ac:dyDescent="0.35">
      <c r="A51" t="s">
        <v>62</v>
      </c>
      <c r="B51" t="s">
        <v>37</v>
      </c>
      <c r="C51" t="s">
        <v>50</v>
      </c>
      <c r="D51">
        <v>6.4928E-2</v>
      </c>
      <c r="E51" s="1">
        <v>44608</v>
      </c>
      <c r="F51">
        <v>0.11574074074074074</v>
      </c>
      <c r="G51" s="8">
        <v>16810</v>
      </c>
      <c r="H51" s="8">
        <v>486.8</v>
      </c>
      <c r="I51">
        <v>1.681</v>
      </c>
      <c r="J51" s="8">
        <v>25280</v>
      </c>
      <c r="K51" s="8">
        <v>568</v>
      </c>
      <c r="L51">
        <v>2.528</v>
      </c>
      <c r="M51" s="8">
        <v>94090</v>
      </c>
      <c r="N51" s="8">
        <v>528</v>
      </c>
      <c r="O51">
        <v>9.4090000000000007</v>
      </c>
      <c r="P51" s="8">
        <v>67770</v>
      </c>
      <c r="Q51" s="8">
        <v>262.5</v>
      </c>
      <c r="R51">
        <v>6.7770000000000001</v>
      </c>
      <c r="S51" s="8">
        <v>14390</v>
      </c>
      <c r="T51" s="8">
        <v>124.4</v>
      </c>
      <c r="U51">
        <v>1.4390000000000001</v>
      </c>
      <c r="V51" s="8">
        <v>12340</v>
      </c>
      <c r="W51" s="8">
        <v>112.7</v>
      </c>
      <c r="X51">
        <v>1.234</v>
      </c>
    </row>
    <row r="52" spans="1:27" x14ac:dyDescent="0.35">
      <c r="A52" t="s">
        <v>67</v>
      </c>
      <c r="B52" t="s">
        <v>37</v>
      </c>
      <c r="C52" t="s">
        <v>50</v>
      </c>
      <c r="D52">
        <v>2.6936000000000002E-2</v>
      </c>
      <c r="E52" s="1">
        <v>44895</v>
      </c>
      <c r="F52">
        <v>1.0596064814814814</v>
      </c>
      <c r="G52" s="8">
        <v>2212</v>
      </c>
      <c r="H52" s="8">
        <v>72.89</v>
      </c>
      <c r="I52">
        <v>2.4161660294920808E-2</v>
      </c>
      <c r="J52" s="8">
        <v>1289</v>
      </c>
      <c r="K52" s="8">
        <v>224.7</v>
      </c>
      <c r="L52">
        <v>1.4079737848170399E-2</v>
      </c>
      <c r="M52" s="8">
        <v>2790</v>
      </c>
      <c r="N52" s="8">
        <v>87.71</v>
      </c>
      <c r="O52">
        <v>3.0475150191152375E-2</v>
      </c>
      <c r="P52" s="8">
        <v>2082</v>
      </c>
      <c r="Q52" s="8">
        <v>54.25</v>
      </c>
      <c r="R52">
        <v>2.2741671217913709E-2</v>
      </c>
      <c r="S52" s="8">
        <v>363</v>
      </c>
      <c r="U52">
        <v>0</v>
      </c>
      <c r="V52" s="8">
        <v>163.1</v>
      </c>
      <c r="X52">
        <v>0</v>
      </c>
    </row>
    <row r="53" spans="1:27" x14ac:dyDescent="0.35">
      <c r="A53" t="s">
        <v>68</v>
      </c>
      <c r="B53" t="s">
        <v>37</v>
      </c>
      <c r="C53" t="s">
        <v>50</v>
      </c>
      <c r="D53">
        <v>2.6936000000000002E-2</v>
      </c>
      <c r="E53" s="1">
        <v>44900</v>
      </c>
      <c r="F53">
        <v>0.11574074074074074</v>
      </c>
      <c r="G53" s="8">
        <v>4690</v>
      </c>
      <c r="H53" s="8">
        <v>246.8</v>
      </c>
      <c r="I53">
        <v>0.46899999999999997</v>
      </c>
      <c r="J53" s="8">
        <v>6979</v>
      </c>
      <c r="K53" s="8">
        <v>257.8</v>
      </c>
      <c r="L53">
        <v>0.69789999999999996</v>
      </c>
      <c r="M53" s="8">
        <v>34290</v>
      </c>
      <c r="O53">
        <v>0</v>
      </c>
      <c r="P53" s="8">
        <v>26140</v>
      </c>
      <c r="R53">
        <v>0</v>
      </c>
      <c r="S53" s="8">
        <v>5521</v>
      </c>
      <c r="U53">
        <v>0</v>
      </c>
      <c r="V53" s="8">
        <v>4449</v>
      </c>
      <c r="X53">
        <v>0</v>
      </c>
    </row>
    <row r="55" spans="1:27" ht="15" thickBot="1" x14ac:dyDescent="0.4">
      <c r="G55" t="s">
        <v>18</v>
      </c>
      <c r="H55" t="s">
        <v>24</v>
      </c>
      <c r="J55" t="s">
        <v>1</v>
      </c>
      <c r="K55" t="s">
        <v>23</v>
      </c>
      <c r="M55" t="s">
        <v>19</v>
      </c>
      <c r="N55" t="s">
        <v>41</v>
      </c>
      <c r="P55" t="s">
        <v>63</v>
      </c>
      <c r="Q55" t="s">
        <v>64</v>
      </c>
      <c r="S55" t="s">
        <v>65</v>
      </c>
      <c r="T55" t="s">
        <v>66</v>
      </c>
      <c r="V55" t="s">
        <v>21</v>
      </c>
      <c r="W55" t="s">
        <v>42</v>
      </c>
      <c r="Y55" t="s">
        <v>44</v>
      </c>
      <c r="Z55" t="s">
        <v>45</v>
      </c>
    </row>
    <row r="56" spans="1:27" ht="15" thickBot="1" x14ac:dyDescent="0.4">
      <c r="A56" s="13" t="s">
        <v>30</v>
      </c>
      <c r="B56" s="13" t="s">
        <v>29</v>
      </c>
      <c r="C56" s="13" t="s">
        <v>31</v>
      </c>
      <c r="D56" s="13" t="s">
        <v>27</v>
      </c>
      <c r="E56" s="13" t="s">
        <v>25</v>
      </c>
      <c r="F56" s="21" t="s">
        <v>28</v>
      </c>
      <c r="G56" t="s">
        <v>53</v>
      </c>
      <c r="H56" t="s">
        <v>54</v>
      </c>
      <c r="I56" t="s">
        <v>55</v>
      </c>
      <c r="J56" t="s">
        <v>53</v>
      </c>
      <c r="K56" t="s">
        <v>54</v>
      </c>
      <c r="L56" t="s">
        <v>55</v>
      </c>
      <c r="M56" t="s">
        <v>53</v>
      </c>
      <c r="N56" t="s">
        <v>54</v>
      </c>
      <c r="O56" t="s">
        <v>55</v>
      </c>
      <c r="P56" t="s">
        <v>53</v>
      </c>
      <c r="Q56" t="s">
        <v>54</v>
      </c>
      <c r="R56" t="s">
        <v>55</v>
      </c>
      <c r="S56" t="s">
        <v>53</v>
      </c>
      <c r="T56" t="s">
        <v>54</v>
      </c>
      <c r="U56" t="s">
        <v>55</v>
      </c>
      <c r="V56" t="s">
        <v>53</v>
      </c>
      <c r="W56" t="s">
        <v>54</v>
      </c>
      <c r="X56" t="s">
        <v>55</v>
      </c>
      <c r="Y56" t="s">
        <v>53</v>
      </c>
      <c r="Z56" t="s">
        <v>54</v>
      </c>
      <c r="AA56" t="s">
        <v>55</v>
      </c>
    </row>
    <row r="57" spans="1:27" ht="15" thickBot="1" x14ac:dyDescent="0.4">
      <c r="A57" s="10" t="s">
        <v>52</v>
      </c>
      <c r="B57" s="11" t="s">
        <v>46</v>
      </c>
      <c r="C57" s="11" t="s">
        <v>49</v>
      </c>
      <c r="D57" s="11">
        <v>4.0795999999999999E-2</v>
      </c>
      <c r="E57" s="18">
        <v>44890</v>
      </c>
      <c r="F57" s="22">
        <v>2.7263773148148149</v>
      </c>
      <c r="G57" s="8">
        <v>5535</v>
      </c>
      <c r="H57" s="8">
        <v>142.80000000000001</v>
      </c>
      <c r="I57">
        <v>2.3497297916870084E-2</v>
      </c>
      <c r="J57" s="8">
        <v>547</v>
      </c>
      <c r="K57" s="8">
        <v>46.32</v>
      </c>
      <c r="L57">
        <v>2.3221358555606027E-3</v>
      </c>
      <c r="M57" s="8">
        <v>1835</v>
      </c>
      <c r="N57" s="8">
        <v>54.12</v>
      </c>
      <c r="O57">
        <v>7.7899804295314548E-3</v>
      </c>
      <c r="P57" s="8">
        <v>334.3</v>
      </c>
      <c r="Q57" s="8">
        <v>46.85</v>
      </c>
      <c r="R57">
        <v>1.4191773610857578E-3</v>
      </c>
      <c r="S57" s="8">
        <v>271.60000000000002</v>
      </c>
      <c r="T57" s="8">
        <v>20.32</v>
      </c>
      <c r="U57">
        <v>1.153002007989506E-3</v>
      </c>
      <c r="V57" s="8">
        <v>2453</v>
      </c>
      <c r="W57" s="8">
        <v>145.69999999999999</v>
      </c>
      <c r="X57">
        <v>1.0413526972011259E-2</v>
      </c>
      <c r="Y57" s="8">
        <v>489.1</v>
      </c>
      <c r="Z57" s="8">
        <v>96.7</v>
      </c>
      <c r="AA57">
        <v>2.0763375629884659E-3</v>
      </c>
    </row>
    <row r="58" spans="1:27" x14ac:dyDescent="0.35">
      <c r="A58" t="s">
        <v>69</v>
      </c>
      <c r="B58" t="s">
        <v>46</v>
      </c>
      <c r="C58" t="s">
        <v>49</v>
      </c>
      <c r="D58">
        <v>1</v>
      </c>
      <c r="E58" s="1">
        <v>44904</v>
      </c>
      <c r="F58">
        <v>0.11574074074074074</v>
      </c>
      <c r="G58" s="8">
        <v>196.4</v>
      </c>
      <c r="H58" s="8">
        <v>15.06</v>
      </c>
      <c r="I58">
        <v>1.9640000000000001E-2</v>
      </c>
      <c r="J58" s="8">
        <v>1223</v>
      </c>
      <c r="K58" s="8">
        <v>45.3</v>
      </c>
      <c r="L58">
        <v>0.12230000000000001</v>
      </c>
      <c r="M58" s="8">
        <v>11200</v>
      </c>
      <c r="N58" s="8">
        <v>98.33</v>
      </c>
      <c r="O58">
        <v>1.1200000000000001</v>
      </c>
      <c r="P58" s="8">
        <v>2462</v>
      </c>
      <c r="Q58" s="8">
        <v>67</v>
      </c>
      <c r="R58">
        <v>0.2462</v>
      </c>
      <c r="S58" s="8">
        <v>1847</v>
      </c>
      <c r="T58" s="8">
        <v>75.52</v>
      </c>
      <c r="U58">
        <v>0.1847</v>
      </c>
      <c r="V58" s="8">
        <v>14770</v>
      </c>
      <c r="W58" s="8">
        <v>117.2</v>
      </c>
      <c r="X58">
        <v>1.4770000000000001</v>
      </c>
      <c r="Y58" s="8">
        <v>3105</v>
      </c>
      <c r="Z58" s="8">
        <v>61.13</v>
      </c>
      <c r="AA58">
        <v>0.3105</v>
      </c>
    </row>
    <row r="59" spans="1:27" x14ac:dyDescent="0.35">
      <c r="A59" t="s">
        <v>70</v>
      </c>
      <c r="B59" t="s">
        <v>46</v>
      </c>
      <c r="C59" t="s">
        <v>49</v>
      </c>
      <c r="D59">
        <v>1</v>
      </c>
      <c r="E59" s="1">
        <v>44903</v>
      </c>
      <c r="F59">
        <v>0.11574074074074074</v>
      </c>
      <c r="I59">
        <v>0</v>
      </c>
      <c r="J59" s="8">
        <v>2176</v>
      </c>
      <c r="K59" s="8">
        <v>56.29</v>
      </c>
      <c r="L59">
        <v>0.21759999999999999</v>
      </c>
      <c r="M59" s="8">
        <v>12790</v>
      </c>
      <c r="N59" s="8">
        <v>177.4</v>
      </c>
      <c r="O59">
        <v>1.2789999999999999</v>
      </c>
      <c r="P59" s="8">
        <v>2596</v>
      </c>
      <c r="Q59" s="8">
        <v>100.1</v>
      </c>
      <c r="R59">
        <v>0.2596</v>
      </c>
      <c r="S59" s="8">
        <v>1897</v>
      </c>
      <c r="T59" s="8">
        <v>38.25</v>
      </c>
      <c r="U59">
        <v>0.18970000000000001</v>
      </c>
      <c r="V59" s="8">
        <v>17530</v>
      </c>
      <c r="W59" s="8">
        <v>127.4</v>
      </c>
      <c r="X59">
        <v>1.7529999999999999</v>
      </c>
      <c r="Y59" s="8">
        <v>3824</v>
      </c>
      <c r="Z59" s="8">
        <v>185</v>
      </c>
      <c r="AA59">
        <v>0.38240000000000002</v>
      </c>
    </row>
    <row r="60" spans="1:27" x14ac:dyDescent="0.35">
      <c r="A60" t="s">
        <v>60</v>
      </c>
      <c r="B60" t="s">
        <v>46</v>
      </c>
      <c r="C60" t="s">
        <v>49</v>
      </c>
      <c r="D60">
        <v>5.7541000000000002E-2</v>
      </c>
      <c r="E60" s="1">
        <v>44904</v>
      </c>
      <c r="F60">
        <v>0.11574074074074074</v>
      </c>
      <c r="G60" s="8">
        <v>7265</v>
      </c>
      <c r="H60" s="8">
        <v>74.95</v>
      </c>
      <c r="I60">
        <v>0.72650000000000003</v>
      </c>
      <c r="J60" s="8">
        <v>627.79999999999995</v>
      </c>
      <c r="K60" s="8">
        <v>121.4</v>
      </c>
      <c r="L60">
        <v>6.2779999999999989E-2</v>
      </c>
      <c r="M60" s="8">
        <v>10900</v>
      </c>
      <c r="N60" s="8">
        <v>174</v>
      </c>
      <c r="O60">
        <v>1.0900000000000001</v>
      </c>
      <c r="P60" s="8">
        <v>2204</v>
      </c>
      <c r="Q60" s="8">
        <v>118.5</v>
      </c>
      <c r="R60">
        <v>0.22040000000000001</v>
      </c>
      <c r="S60" s="8">
        <v>1693</v>
      </c>
      <c r="T60" s="8">
        <v>36.21</v>
      </c>
      <c r="U60">
        <v>0.16930000000000001</v>
      </c>
      <c r="V60" s="8">
        <v>13930</v>
      </c>
      <c r="W60" s="8">
        <v>114.2</v>
      </c>
      <c r="X60">
        <v>1.393</v>
      </c>
      <c r="Y60" s="8">
        <v>2930</v>
      </c>
      <c r="Z60" s="8">
        <v>36.799999999999997</v>
      </c>
      <c r="AA60">
        <v>0.29299999999999998</v>
      </c>
    </row>
    <row r="61" spans="1:27" x14ac:dyDescent="0.35">
      <c r="A61" t="s">
        <v>58</v>
      </c>
      <c r="B61" t="s">
        <v>46</v>
      </c>
      <c r="C61" t="s">
        <v>49</v>
      </c>
      <c r="D61">
        <v>5.7541000000000002E-2</v>
      </c>
      <c r="E61" s="1">
        <v>44830</v>
      </c>
      <c r="F61">
        <v>0.68517361111111119</v>
      </c>
      <c r="I61">
        <v>0</v>
      </c>
      <c r="L61">
        <v>0</v>
      </c>
      <c r="M61" s="8">
        <v>53.38</v>
      </c>
      <c r="N61" s="8">
        <v>23.56</v>
      </c>
      <c r="O61">
        <v>9.0170442068278182E-4</v>
      </c>
      <c r="R61">
        <v>0</v>
      </c>
      <c r="U61">
        <v>0</v>
      </c>
      <c r="V61" s="8">
        <v>29.38</v>
      </c>
      <c r="W61" s="8">
        <v>27.77</v>
      </c>
      <c r="X61">
        <v>4.9629216709741713E-4</v>
      </c>
      <c r="AA61">
        <v>0</v>
      </c>
    </row>
    <row r="62" spans="1:27" x14ac:dyDescent="0.35">
      <c r="A62" t="s">
        <v>59</v>
      </c>
      <c r="B62" t="s">
        <v>46</v>
      </c>
      <c r="C62" t="s">
        <v>49</v>
      </c>
      <c r="D62">
        <v>5.0090000000000003E-2</v>
      </c>
      <c r="E62" s="1">
        <v>44827</v>
      </c>
      <c r="F62">
        <v>1</v>
      </c>
      <c r="I62">
        <v>0</v>
      </c>
      <c r="J62" s="8">
        <v>219.2</v>
      </c>
      <c r="K62" s="8">
        <v>66.040000000000006</v>
      </c>
      <c r="L62">
        <v>2.5370370370370369E-3</v>
      </c>
      <c r="M62" s="8">
        <v>2566</v>
      </c>
      <c r="N62" s="8">
        <v>226.2</v>
      </c>
      <c r="O62">
        <v>2.9699074074074076E-2</v>
      </c>
      <c r="P62" s="8">
        <v>362.7</v>
      </c>
      <c r="Q62" s="8">
        <v>28.42</v>
      </c>
      <c r="R62">
        <v>4.1979166666666666E-3</v>
      </c>
      <c r="U62">
        <v>0</v>
      </c>
      <c r="V62" s="8">
        <v>3250</v>
      </c>
      <c r="W62" s="8">
        <v>315.2</v>
      </c>
      <c r="X62">
        <v>3.7615740740740741E-2</v>
      </c>
      <c r="AA62">
        <v>0</v>
      </c>
    </row>
    <row r="63" spans="1:27" x14ac:dyDescent="0.35">
      <c r="A63" t="s">
        <v>71</v>
      </c>
      <c r="B63" t="s">
        <v>46</v>
      </c>
      <c r="C63" t="s">
        <v>49</v>
      </c>
      <c r="D63">
        <v>5.0090000000000003E-2</v>
      </c>
      <c r="E63" s="1">
        <v>44909</v>
      </c>
      <c r="F63">
        <v>0.11574074074074074</v>
      </c>
      <c r="I63">
        <v>0</v>
      </c>
      <c r="L63">
        <v>0</v>
      </c>
      <c r="M63" s="8">
        <v>264.2</v>
      </c>
      <c r="N63" s="8">
        <v>73.72</v>
      </c>
      <c r="O63">
        <v>2.6419999999999999E-2</v>
      </c>
      <c r="P63" s="8">
        <v>47.38</v>
      </c>
      <c r="Q63" s="8">
        <v>9.625</v>
      </c>
      <c r="R63">
        <v>4.738E-3</v>
      </c>
      <c r="S63" s="8">
        <v>47.84</v>
      </c>
      <c r="T63" s="8">
        <v>8.6809999999999992</v>
      </c>
      <c r="U63">
        <v>4.7840000000000001E-3</v>
      </c>
      <c r="V63" s="8">
        <v>352</v>
      </c>
      <c r="W63" s="8">
        <v>49.88</v>
      </c>
      <c r="X63">
        <v>3.5200000000000002E-2</v>
      </c>
      <c r="AA63">
        <v>0</v>
      </c>
    </row>
    <row r="64" spans="1:27" x14ac:dyDescent="0.35">
      <c r="A64" t="s">
        <v>61</v>
      </c>
      <c r="B64" t="s">
        <v>46</v>
      </c>
      <c r="C64" t="s">
        <v>49</v>
      </c>
      <c r="D64">
        <v>6.4928E-2</v>
      </c>
      <c r="E64" s="1">
        <v>44830</v>
      </c>
      <c r="F64">
        <v>0.32245370370370369</v>
      </c>
      <c r="I64">
        <v>0</v>
      </c>
      <c r="J64" s="8">
        <v>10150</v>
      </c>
      <c r="K64" s="8">
        <v>621.20000000000005</v>
      </c>
      <c r="L64">
        <v>0.36432160804020103</v>
      </c>
      <c r="M64" s="8">
        <v>62270</v>
      </c>
      <c r="N64" s="8">
        <v>363.2</v>
      </c>
      <c r="O64">
        <v>2.2351040918880116</v>
      </c>
      <c r="P64" s="8">
        <v>12800</v>
      </c>
      <c r="Q64" s="8">
        <v>128</v>
      </c>
      <c r="R64">
        <v>0.45944005743000715</v>
      </c>
      <c r="U64">
        <v>0</v>
      </c>
      <c r="V64" s="8">
        <v>89270</v>
      </c>
      <c r="W64" s="8">
        <v>548.79999999999995</v>
      </c>
      <c r="X64">
        <v>3.2042354630294327</v>
      </c>
      <c r="Y64" s="8">
        <v>15580</v>
      </c>
      <c r="Z64" s="8">
        <v>845.6</v>
      </c>
      <c r="AA64">
        <v>0.55922469490308691</v>
      </c>
    </row>
    <row r="65" spans="1:27" x14ac:dyDescent="0.35">
      <c r="A65" t="s">
        <v>62</v>
      </c>
      <c r="B65" t="s">
        <v>46</v>
      </c>
      <c r="C65" t="s">
        <v>49</v>
      </c>
      <c r="D65">
        <v>6.4928E-2</v>
      </c>
      <c r="E65" s="1">
        <v>44903</v>
      </c>
      <c r="F65">
        <v>0.11574074074074074</v>
      </c>
      <c r="I65">
        <v>0</v>
      </c>
      <c r="J65" s="8">
        <v>4518</v>
      </c>
      <c r="K65" s="8">
        <v>237.1</v>
      </c>
      <c r="L65">
        <v>0.45179999999999998</v>
      </c>
      <c r="M65" s="8">
        <v>32550</v>
      </c>
      <c r="N65" s="8">
        <v>168.1</v>
      </c>
      <c r="O65">
        <v>3.2549999999999999</v>
      </c>
      <c r="P65" s="8">
        <v>6490</v>
      </c>
      <c r="Q65" s="8">
        <v>73.2</v>
      </c>
      <c r="R65">
        <v>0.64900000000000002</v>
      </c>
      <c r="S65" s="8">
        <v>5227</v>
      </c>
      <c r="T65" s="8">
        <v>75.5</v>
      </c>
      <c r="U65">
        <v>0.52270000000000005</v>
      </c>
      <c r="V65" s="8">
        <v>44600</v>
      </c>
      <c r="W65" s="8">
        <v>388.8</v>
      </c>
      <c r="X65">
        <v>4.46</v>
      </c>
      <c r="Y65" s="8">
        <v>8216</v>
      </c>
      <c r="Z65" s="8">
        <v>664.5</v>
      </c>
      <c r="AA65">
        <v>0.8216</v>
      </c>
    </row>
    <row r="66" spans="1:27" x14ac:dyDescent="0.35">
      <c r="A66" t="s">
        <v>67</v>
      </c>
      <c r="B66" t="s">
        <v>46</v>
      </c>
      <c r="C66" t="s">
        <v>49</v>
      </c>
      <c r="D66">
        <v>2.6936000000000002E-2</v>
      </c>
      <c r="E66" s="1">
        <v>44893</v>
      </c>
      <c r="F66">
        <v>1.9963657407407409</v>
      </c>
      <c r="G66" s="8">
        <v>4524</v>
      </c>
      <c r="H66" s="8">
        <v>154.30000000000001</v>
      </c>
      <c r="I66">
        <v>2.6228215623296962E-2</v>
      </c>
      <c r="J66" s="8">
        <v>1240</v>
      </c>
      <c r="K66" s="8">
        <v>152.6</v>
      </c>
      <c r="L66">
        <v>7.1889892513015549E-3</v>
      </c>
      <c r="M66" s="8">
        <v>1629</v>
      </c>
      <c r="N66" s="8">
        <v>123.5</v>
      </c>
      <c r="O66">
        <v>9.4442447502985742E-3</v>
      </c>
      <c r="P66" s="8">
        <v>351.7</v>
      </c>
      <c r="Q66" s="8">
        <v>23.24</v>
      </c>
      <c r="R66">
        <v>2.0390060642602875E-3</v>
      </c>
      <c r="S66" s="8">
        <v>282</v>
      </c>
      <c r="T66" s="8">
        <v>95.1</v>
      </c>
      <c r="U66">
        <v>1.6349152974734181E-3</v>
      </c>
      <c r="V66" s="8">
        <v>2532</v>
      </c>
      <c r="W66" s="8">
        <v>169.4</v>
      </c>
      <c r="X66">
        <v>1.4679452245399627E-2</v>
      </c>
      <c r="Y66" s="8">
        <v>426.7</v>
      </c>
      <c r="Z66" s="8">
        <v>148.30000000000001</v>
      </c>
      <c r="AA66">
        <v>2.4738239625244946E-3</v>
      </c>
    </row>
    <row r="68" spans="1:27" ht="15" thickBot="1" x14ac:dyDescent="0.4">
      <c r="G68" t="s">
        <v>1</v>
      </c>
      <c r="H68" t="s">
        <v>23</v>
      </c>
      <c r="J68" t="s">
        <v>44</v>
      </c>
      <c r="K68" t="s">
        <v>45</v>
      </c>
      <c r="M68" t="s">
        <v>21</v>
      </c>
      <c r="N68" t="s">
        <v>42</v>
      </c>
      <c r="P68" t="s">
        <v>19</v>
      </c>
      <c r="Q68" t="s">
        <v>41</v>
      </c>
      <c r="S68" t="s">
        <v>63</v>
      </c>
      <c r="T68" t="s">
        <v>64</v>
      </c>
      <c r="V68" t="s">
        <v>65</v>
      </c>
      <c r="W68" t="s">
        <v>66</v>
      </c>
    </row>
    <row r="69" spans="1:27" ht="15" thickBot="1" x14ac:dyDescent="0.4">
      <c r="A69" s="13" t="s">
        <v>30</v>
      </c>
      <c r="B69" s="13" t="s">
        <v>29</v>
      </c>
      <c r="C69" s="13" t="s">
        <v>31</v>
      </c>
      <c r="D69" s="13" t="s">
        <v>27</v>
      </c>
      <c r="E69" s="13" t="s">
        <v>25</v>
      </c>
      <c r="F69" s="21" t="s">
        <v>28</v>
      </c>
      <c r="G69" t="s">
        <v>53</v>
      </c>
      <c r="H69" t="s">
        <v>54</v>
      </c>
      <c r="I69" t="s">
        <v>55</v>
      </c>
      <c r="J69" t="s">
        <v>53</v>
      </c>
      <c r="K69" t="s">
        <v>54</v>
      </c>
      <c r="L69" t="s">
        <v>55</v>
      </c>
      <c r="M69" t="s">
        <v>53</v>
      </c>
      <c r="N69" t="s">
        <v>54</v>
      </c>
      <c r="O69" t="s">
        <v>55</v>
      </c>
      <c r="P69" t="s">
        <v>53</v>
      </c>
      <c r="Q69" t="s">
        <v>54</v>
      </c>
      <c r="R69" t="s">
        <v>55</v>
      </c>
      <c r="S69" t="s">
        <v>53</v>
      </c>
      <c r="T69" t="s">
        <v>54</v>
      </c>
      <c r="U69" t="s">
        <v>55</v>
      </c>
      <c r="V69" t="s">
        <v>53</v>
      </c>
      <c r="W69" t="s">
        <v>54</v>
      </c>
      <c r="X69" t="s">
        <v>55</v>
      </c>
    </row>
    <row r="70" spans="1:27" ht="15" thickBot="1" x14ac:dyDescent="0.4">
      <c r="A70" s="10" t="s">
        <v>52</v>
      </c>
      <c r="B70" s="11" t="s">
        <v>46</v>
      </c>
      <c r="C70" s="11" t="s">
        <v>49</v>
      </c>
      <c r="D70" s="11">
        <v>4.0795999999999999E-2</v>
      </c>
      <c r="E70" s="18">
        <v>44890</v>
      </c>
      <c r="F70" s="22">
        <v>2.7263773148148149</v>
      </c>
      <c r="G70" s="8">
        <v>547</v>
      </c>
      <c r="H70" s="8">
        <v>46.32</v>
      </c>
      <c r="I70">
        <v>2.3221358555606027E-3</v>
      </c>
      <c r="J70" s="8">
        <v>489.1</v>
      </c>
      <c r="K70" s="8">
        <v>96.7</v>
      </c>
      <c r="L70">
        <v>2.0763375629884659E-3</v>
      </c>
      <c r="M70" s="8">
        <v>2453</v>
      </c>
      <c r="N70" s="8">
        <v>145.69999999999999</v>
      </c>
      <c r="O70">
        <v>1.0413526972011259E-2</v>
      </c>
      <c r="P70" s="8">
        <v>1835</v>
      </c>
      <c r="Q70" s="8">
        <v>54.12</v>
      </c>
      <c r="R70">
        <v>7.7899804295314548E-3</v>
      </c>
      <c r="S70" s="8">
        <v>334.3</v>
      </c>
      <c r="T70" s="8">
        <v>46.85</v>
      </c>
      <c r="U70">
        <v>1.4191773610857578E-3</v>
      </c>
      <c r="V70" s="8">
        <v>271.60000000000002</v>
      </c>
      <c r="W70" s="8">
        <v>20.32</v>
      </c>
      <c r="X70">
        <v>1.153002007989506E-3</v>
      </c>
    </row>
    <row r="71" spans="1:27" x14ac:dyDescent="0.35">
      <c r="A71" t="s">
        <v>69</v>
      </c>
      <c r="B71" t="s">
        <v>46</v>
      </c>
      <c r="C71" t="s">
        <v>49</v>
      </c>
      <c r="D71">
        <v>1</v>
      </c>
      <c r="E71" s="1">
        <v>44904</v>
      </c>
      <c r="F71">
        <v>0.11574074074074074</v>
      </c>
      <c r="G71" s="8">
        <v>1223</v>
      </c>
      <c r="H71" s="8">
        <v>45.3</v>
      </c>
      <c r="I71">
        <v>0.12230000000000001</v>
      </c>
      <c r="J71" s="8">
        <v>3105</v>
      </c>
      <c r="K71" s="8">
        <v>61.13</v>
      </c>
      <c r="L71">
        <v>0.3105</v>
      </c>
      <c r="M71" s="8">
        <v>14770</v>
      </c>
      <c r="N71" s="8">
        <v>117.2</v>
      </c>
      <c r="O71">
        <v>1.4770000000000001</v>
      </c>
      <c r="P71" s="8">
        <v>11200</v>
      </c>
      <c r="Q71" s="8">
        <v>98.33</v>
      </c>
      <c r="R71">
        <v>1.1200000000000001</v>
      </c>
      <c r="S71" s="8">
        <v>2462</v>
      </c>
      <c r="T71" s="8">
        <v>67</v>
      </c>
      <c r="U71">
        <v>0.2462</v>
      </c>
      <c r="V71" s="8">
        <v>1847</v>
      </c>
      <c r="W71" s="8">
        <v>75.52</v>
      </c>
      <c r="X71">
        <v>0.1847</v>
      </c>
    </row>
    <row r="72" spans="1:27" x14ac:dyDescent="0.35">
      <c r="A72" t="s">
        <v>70</v>
      </c>
      <c r="B72" t="s">
        <v>46</v>
      </c>
      <c r="C72" t="s">
        <v>49</v>
      </c>
      <c r="D72">
        <v>1</v>
      </c>
      <c r="E72" s="1">
        <v>44903</v>
      </c>
      <c r="F72">
        <v>0.11574074074074074</v>
      </c>
      <c r="G72" s="8">
        <v>2176</v>
      </c>
      <c r="H72" s="8">
        <v>56.29</v>
      </c>
      <c r="I72">
        <v>0.21759999999999999</v>
      </c>
      <c r="J72" s="8">
        <v>3824</v>
      </c>
      <c r="K72" s="8">
        <v>185</v>
      </c>
      <c r="L72">
        <v>0.38240000000000002</v>
      </c>
      <c r="M72" s="8">
        <v>17530</v>
      </c>
      <c r="N72" s="8">
        <v>127.4</v>
      </c>
      <c r="O72">
        <v>1.7529999999999999</v>
      </c>
      <c r="P72" s="8">
        <v>12790</v>
      </c>
      <c r="Q72" s="8">
        <v>177.4</v>
      </c>
      <c r="R72">
        <v>1.2789999999999999</v>
      </c>
      <c r="S72" s="8">
        <v>2596</v>
      </c>
      <c r="T72" s="8">
        <v>100.1</v>
      </c>
      <c r="U72">
        <v>0.2596</v>
      </c>
      <c r="V72" s="8">
        <v>1897</v>
      </c>
      <c r="W72" s="8">
        <v>38.25</v>
      </c>
      <c r="X72">
        <v>0.18970000000000001</v>
      </c>
    </row>
    <row r="73" spans="1:27" x14ac:dyDescent="0.35">
      <c r="A73" t="s">
        <v>60</v>
      </c>
      <c r="B73" t="s">
        <v>46</v>
      </c>
      <c r="C73" t="s">
        <v>49</v>
      </c>
      <c r="D73">
        <v>5.7541000000000002E-2</v>
      </c>
      <c r="E73" s="1">
        <v>44904</v>
      </c>
      <c r="F73">
        <v>0.11574074074074074</v>
      </c>
      <c r="G73" s="8">
        <v>627.79999999999995</v>
      </c>
      <c r="H73" s="8">
        <v>121.4</v>
      </c>
      <c r="I73">
        <v>6.2779999999999989E-2</v>
      </c>
      <c r="J73" s="8">
        <v>2930</v>
      </c>
      <c r="K73" s="8">
        <v>36.799999999999997</v>
      </c>
      <c r="L73">
        <v>0.29299999999999998</v>
      </c>
      <c r="M73" s="8">
        <v>13930</v>
      </c>
      <c r="N73" s="8">
        <v>114.2</v>
      </c>
      <c r="O73">
        <v>1.393</v>
      </c>
      <c r="P73" s="8">
        <v>10900</v>
      </c>
      <c r="Q73" s="8">
        <v>174</v>
      </c>
      <c r="R73">
        <v>1.0900000000000001</v>
      </c>
      <c r="S73" s="8">
        <v>2204</v>
      </c>
      <c r="T73" s="8">
        <v>118.5</v>
      </c>
      <c r="U73">
        <v>0.22040000000000001</v>
      </c>
      <c r="V73" s="8">
        <v>1693</v>
      </c>
      <c r="W73" s="8">
        <v>36.21</v>
      </c>
      <c r="X73">
        <v>0.16930000000000001</v>
      </c>
    </row>
    <row r="74" spans="1:27" x14ac:dyDescent="0.35">
      <c r="A74" t="s">
        <v>58</v>
      </c>
      <c r="B74" t="s">
        <v>46</v>
      </c>
      <c r="C74" t="s">
        <v>49</v>
      </c>
      <c r="D74">
        <v>5.7541000000000002E-2</v>
      </c>
      <c r="E74" s="1">
        <v>44830</v>
      </c>
      <c r="F74">
        <v>0.68517361111111119</v>
      </c>
      <c r="I74">
        <v>0</v>
      </c>
      <c r="L74">
        <v>0</v>
      </c>
      <c r="M74" s="8">
        <v>29.38</v>
      </c>
      <c r="N74" s="8">
        <v>27.77</v>
      </c>
      <c r="O74">
        <v>4.9629216709741713E-4</v>
      </c>
      <c r="P74" s="8">
        <v>53.38</v>
      </c>
      <c r="Q74" s="8">
        <v>23.56</v>
      </c>
      <c r="R74">
        <v>9.0170442068278182E-4</v>
      </c>
      <c r="U74">
        <v>0</v>
      </c>
      <c r="X74">
        <v>0</v>
      </c>
    </row>
    <row r="75" spans="1:27" x14ac:dyDescent="0.35">
      <c r="A75" t="s">
        <v>59</v>
      </c>
      <c r="B75" t="s">
        <v>46</v>
      </c>
      <c r="C75" t="s">
        <v>49</v>
      </c>
      <c r="D75">
        <v>5.0090000000000003E-2</v>
      </c>
      <c r="E75" s="1">
        <v>44827</v>
      </c>
      <c r="F75">
        <v>1</v>
      </c>
      <c r="G75" s="8">
        <v>219.2</v>
      </c>
      <c r="H75" s="8">
        <v>66.040000000000006</v>
      </c>
      <c r="I75">
        <v>2.5370370370370369E-3</v>
      </c>
      <c r="J75" s="8">
        <v>1224</v>
      </c>
      <c r="K75" s="8">
        <v>104</v>
      </c>
      <c r="L75">
        <v>0</v>
      </c>
      <c r="M75" s="8">
        <v>3250</v>
      </c>
      <c r="N75" s="8">
        <v>315.2</v>
      </c>
      <c r="O75">
        <v>3.7615740740740741E-2</v>
      </c>
      <c r="P75" s="8">
        <v>2566</v>
      </c>
      <c r="Q75" s="8">
        <v>226.2</v>
      </c>
      <c r="R75">
        <v>2.9699074074074076E-2</v>
      </c>
      <c r="S75" s="8">
        <v>362.7</v>
      </c>
      <c r="T75" s="8">
        <v>28.42</v>
      </c>
      <c r="U75">
        <v>4.1979166666666666E-3</v>
      </c>
      <c r="V75" s="8">
        <v>387.5</v>
      </c>
      <c r="W75" s="8">
        <v>143.30000000000001</v>
      </c>
      <c r="X75">
        <v>0</v>
      </c>
    </row>
    <row r="76" spans="1:27" x14ac:dyDescent="0.35">
      <c r="A76" t="s">
        <v>71</v>
      </c>
      <c r="B76" t="s">
        <v>46</v>
      </c>
      <c r="C76" t="s">
        <v>49</v>
      </c>
      <c r="D76">
        <v>5.0090000000000003E-2</v>
      </c>
      <c r="E76" s="1">
        <v>44909</v>
      </c>
      <c r="F76">
        <v>0.11574074074074074</v>
      </c>
      <c r="G76" s="8">
        <v>122.6</v>
      </c>
      <c r="H76" s="8">
        <v>37.17</v>
      </c>
      <c r="I76">
        <v>0</v>
      </c>
      <c r="J76" s="8">
        <v>29.63</v>
      </c>
      <c r="K76" s="8">
        <v>18.440000000000001</v>
      </c>
      <c r="L76">
        <v>0</v>
      </c>
      <c r="M76" s="8">
        <v>352</v>
      </c>
      <c r="N76" s="8">
        <v>49.88</v>
      </c>
      <c r="O76">
        <v>3.5200000000000002E-2</v>
      </c>
      <c r="P76" s="8">
        <v>264.2</v>
      </c>
      <c r="Q76" s="8">
        <v>73.72</v>
      </c>
      <c r="R76">
        <v>2.6419999999999999E-2</v>
      </c>
      <c r="S76" s="8">
        <v>47.38</v>
      </c>
      <c r="T76" s="8">
        <v>9.625</v>
      </c>
      <c r="U76">
        <v>4.738E-3</v>
      </c>
      <c r="V76" s="8">
        <v>47.84</v>
      </c>
      <c r="W76" s="8">
        <v>8.6809999999999992</v>
      </c>
      <c r="X76">
        <v>4.7840000000000001E-3</v>
      </c>
    </row>
    <row r="77" spans="1:27" x14ac:dyDescent="0.35">
      <c r="A77" t="s">
        <v>61</v>
      </c>
      <c r="B77" t="s">
        <v>46</v>
      </c>
      <c r="C77" t="s">
        <v>49</v>
      </c>
      <c r="D77">
        <v>6.4928E-2</v>
      </c>
      <c r="E77" s="1">
        <v>44830</v>
      </c>
      <c r="F77">
        <v>0.32245370370370369</v>
      </c>
      <c r="G77" s="8">
        <v>10150</v>
      </c>
      <c r="H77" s="8">
        <v>621.20000000000005</v>
      </c>
      <c r="I77">
        <v>0.36432160804020103</v>
      </c>
      <c r="J77" s="8">
        <v>15580</v>
      </c>
      <c r="K77" s="8">
        <v>845.6</v>
      </c>
      <c r="L77">
        <v>0.55922469490308691</v>
      </c>
      <c r="M77" s="8">
        <v>89270</v>
      </c>
      <c r="N77" s="8">
        <v>548.79999999999995</v>
      </c>
      <c r="O77">
        <v>3.2042354630294327</v>
      </c>
      <c r="P77" s="8">
        <v>62270</v>
      </c>
      <c r="Q77" s="8">
        <v>363.2</v>
      </c>
      <c r="R77">
        <v>2.2351040918880116</v>
      </c>
      <c r="S77" s="8">
        <v>12800</v>
      </c>
      <c r="T77" s="8">
        <v>128</v>
      </c>
      <c r="U77">
        <v>0.45944005743000715</v>
      </c>
      <c r="V77" s="8">
        <v>10150</v>
      </c>
      <c r="W77" s="8">
        <v>110.5</v>
      </c>
      <c r="X77">
        <v>0</v>
      </c>
    </row>
    <row r="78" spans="1:27" x14ac:dyDescent="0.35">
      <c r="A78" t="s">
        <v>62</v>
      </c>
      <c r="B78" t="s">
        <v>46</v>
      </c>
      <c r="C78" t="s">
        <v>49</v>
      </c>
      <c r="D78">
        <v>6.4928E-2</v>
      </c>
      <c r="E78" s="1">
        <v>44903</v>
      </c>
      <c r="F78">
        <v>0.11574074074074074</v>
      </c>
      <c r="G78" s="8">
        <v>4518</v>
      </c>
      <c r="H78" s="8">
        <v>237.1</v>
      </c>
      <c r="I78">
        <v>0.45179999999999998</v>
      </c>
      <c r="J78" s="8">
        <v>8216</v>
      </c>
      <c r="K78" s="8">
        <v>664.5</v>
      </c>
      <c r="L78">
        <v>0.8216</v>
      </c>
      <c r="M78" s="8">
        <v>44600</v>
      </c>
      <c r="N78" s="8">
        <v>388.8</v>
      </c>
      <c r="O78">
        <v>4.46</v>
      </c>
      <c r="P78" s="8">
        <v>32550</v>
      </c>
      <c r="Q78" s="8">
        <v>168.1</v>
      </c>
      <c r="R78">
        <v>3.2549999999999999</v>
      </c>
      <c r="S78" s="8">
        <v>6490</v>
      </c>
      <c r="T78" s="8">
        <v>73.2</v>
      </c>
      <c r="U78">
        <v>0.64900000000000002</v>
      </c>
      <c r="V78" s="8">
        <v>5227</v>
      </c>
      <c r="W78" s="8">
        <v>75.5</v>
      </c>
      <c r="X78">
        <v>0.52270000000000005</v>
      </c>
    </row>
    <row r="79" spans="1:27" x14ac:dyDescent="0.35">
      <c r="A79" t="s">
        <v>67</v>
      </c>
      <c r="B79" t="s">
        <v>46</v>
      </c>
      <c r="C79" t="s">
        <v>49</v>
      </c>
      <c r="D79">
        <v>2.6936000000000002E-2</v>
      </c>
      <c r="E79" s="1">
        <v>44893</v>
      </c>
      <c r="F79">
        <v>1.9963657407407409</v>
      </c>
      <c r="G79" s="8">
        <v>1240</v>
      </c>
      <c r="H79" s="8">
        <v>152.6</v>
      </c>
      <c r="I79">
        <v>7.1889892513015549E-3</v>
      </c>
      <c r="J79" s="8">
        <v>426.7</v>
      </c>
      <c r="K79" s="8">
        <v>148.30000000000001</v>
      </c>
      <c r="L79">
        <v>2.4738239625244946E-3</v>
      </c>
      <c r="M79" s="8">
        <v>2532</v>
      </c>
      <c r="N79" s="8">
        <v>169.4</v>
      </c>
      <c r="O79">
        <v>1.4679452245399627E-2</v>
      </c>
      <c r="P79" s="8">
        <v>1629</v>
      </c>
      <c r="Q79" s="8">
        <v>123.5</v>
      </c>
      <c r="R79">
        <v>9.4442447502985742E-3</v>
      </c>
      <c r="S79" s="8">
        <v>351.7</v>
      </c>
      <c r="T79" s="8">
        <v>23.24</v>
      </c>
      <c r="U79">
        <v>2.0390060642602875E-3</v>
      </c>
      <c r="V79" s="8">
        <v>282</v>
      </c>
      <c r="W79" s="8">
        <v>95.1</v>
      </c>
      <c r="X79">
        <v>1.6349152974734181E-3</v>
      </c>
    </row>
    <row r="81" spans="1:30" ht="15" thickBot="1" x14ac:dyDescent="0.4">
      <c r="G81" t="s">
        <v>1</v>
      </c>
      <c r="H81" t="s">
        <v>23</v>
      </c>
      <c r="J81" t="s">
        <v>44</v>
      </c>
      <c r="K81" t="s">
        <v>45</v>
      </c>
      <c r="M81" t="s">
        <v>21</v>
      </c>
      <c r="N81" t="s">
        <v>42</v>
      </c>
      <c r="P81" t="s">
        <v>19</v>
      </c>
      <c r="Q81" t="s">
        <v>41</v>
      </c>
      <c r="S81" t="s">
        <v>63</v>
      </c>
      <c r="T81" t="s">
        <v>64</v>
      </c>
      <c r="V81" t="s">
        <v>65</v>
      </c>
      <c r="W81" t="s">
        <v>66</v>
      </c>
    </row>
    <row r="82" spans="1:30" ht="15" thickBot="1" x14ac:dyDescent="0.4">
      <c r="A82" s="13" t="s">
        <v>30</v>
      </c>
      <c r="B82" s="13" t="s">
        <v>29</v>
      </c>
      <c r="C82" s="13" t="s">
        <v>31</v>
      </c>
      <c r="D82" s="13" t="s">
        <v>27</v>
      </c>
      <c r="E82" s="13" t="s">
        <v>25</v>
      </c>
      <c r="F82" s="21" t="s">
        <v>28</v>
      </c>
      <c r="G82" t="s">
        <v>53</v>
      </c>
      <c r="H82" t="s">
        <v>54</v>
      </c>
      <c r="I82" t="s">
        <v>55</v>
      </c>
      <c r="J82" t="s">
        <v>53</v>
      </c>
      <c r="K82" t="s">
        <v>54</v>
      </c>
      <c r="L82" t="s">
        <v>55</v>
      </c>
      <c r="M82" t="s">
        <v>53</v>
      </c>
      <c r="N82" t="s">
        <v>54</v>
      </c>
      <c r="O82" t="s">
        <v>55</v>
      </c>
      <c r="P82" t="s">
        <v>53</v>
      </c>
      <c r="Q82" t="s">
        <v>54</v>
      </c>
      <c r="R82" t="s">
        <v>55</v>
      </c>
      <c r="S82" t="s">
        <v>53</v>
      </c>
      <c r="T82" t="s">
        <v>54</v>
      </c>
      <c r="U82" t="s">
        <v>55</v>
      </c>
      <c r="V82" t="s">
        <v>53</v>
      </c>
      <c r="W82" t="s">
        <v>54</v>
      </c>
      <c r="X82" t="s">
        <v>55</v>
      </c>
    </row>
    <row r="83" spans="1:30" ht="15" thickBot="1" x14ac:dyDescent="0.4">
      <c r="A83" s="10" t="s">
        <v>72</v>
      </c>
      <c r="B83" s="11" t="s">
        <v>37</v>
      </c>
      <c r="C83" s="11" t="s">
        <v>50</v>
      </c>
      <c r="D83" s="11">
        <v>5.6959000000000003E-2</v>
      </c>
      <c r="E83" s="18">
        <v>44907</v>
      </c>
      <c r="F83" s="22">
        <v>0.11574074074074074</v>
      </c>
      <c r="G83" s="8">
        <v>2427</v>
      </c>
      <c r="H83" s="8">
        <v>73.05</v>
      </c>
      <c r="I83">
        <v>0.2427</v>
      </c>
      <c r="J83" s="8">
        <v>5765</v>
      </c>
      <c r="K83" s="8">
        <v>93.71</v>
      </c>
      <c r="L83">
        <v>0.57650000000000001</v>
      </c>
      <c r="M83" s="8">
        <v>31190</v>
      </c>
      <c r="O83">
        <v>0</v>
      </c>
      <c r="P83" s="8">
        <v>24300</v>
      </c>
      <c r="R83">
        <v>0</v>
      </c>
      <c r="S83" s="8">
        <v>5351</v>
      </c>
      <c r="U83">
        <v>0</v>
      </c>
      <c r="V83" s="8">
        <v>4346</v>
      </c>
      <c r="X83">
        <v>0</v>
      </c>
    </row>
    <row r="84" spans="1:30" x14ac:dyDescent="0.35">
      <c r="A84" t="s">
        <v>51</v>
      </c>
      <c r="B84" t="s">
        <v>37</v>
      </c>
      <c r="C84" t="s">
        <v>50</v>
      </c>
      <c r="D84">
        <v>5.6959000000000003E-2</v>
      </c>
      <c r="E84" s="1">
        <v>44890</v>
      </c>
      <c r="F84">
        <v>2.7359606481481484</v>
      </c>
      <c r="G84" s="8">
        <v>3161</v>
      </c>
      <c r="H84" s="8">
        <v>83.48</v>
      </c>
      <c r="I84">
        <v>1.3372139753878175E-2</v>
      </c>
      <c r="J84" s="8">
        <v>579.6</v>
      </c>
      <c r="L84">
        <v>0</v>
      </c>
      <c r="M84" s="8">
        <v>101.7</v>
      </c>
      <c r="N84" s="8">
        <v>222.6</v>
      </c>
      <c r="O84">
        <v>4.3022670451420763E-4</v>
      </c>
      <c r="P84" s="8">
        <v>345.4</v>
      </c>
      <c r="R84">
        <v>0</v>
      </c>
      <c r="S84" s="8">
        <v>1.075</v>
      </c>
      <c r="T84" s="8">
        <v>0</v>
      </c>
      <c r="U84">
        <v>4.5476274075985561E-6</v>
      </c>
      <c r="V84">
        <v>0</v>
      </c>
      <c r="X84">
        <v>0</v>
      </c>
    </row>
    <row r="86" spans="1:30" ht="15" thickBot="1" x14ac:dyDescent="0.4"/>
    <row r="87" spans="1:30" ht="15" thickBot="1" x14ac:dyDescent="0.4">
      <c r="A87" s="10" t="s">
        <v>72</v>
      </c>
      <c r="F87">
        <f>F83*86400</f>
        <v>10000</v>
      </c>
      <c r="G87" s="8">
        <v>2427</v>
      </c>
      <c r="H87" s="8">
        <v>5765</v>
      </c>
      <c r="I87" s="8">
        <v>31190</v>
      </c>
      <c r="J87" s="8">
        <v>24300</v>
      </c>
      <c r="K87" s="8">
        <v>5351</v>
      </c>
      <c r="L87" s="8">
        <v>4346</v>
      </c>
    </row>
    <row r="88" spans="1:30" x14ac:dyDescent="0.35">
      <c r="A88" t="s">
        <v>51</v>
      </c>
      <c r="F88">
        <f>F84*86400</f>
        <v>236387.00000000003</v>
      </c>
      <c r="G88" s="8">
        <v>3161</v>
      </c>
      <c r="H88" s="8">
        <v>579.6</v>
      </c>
      <c r="I88" s="8">
        <v>101.7</v>
      </c>
      <c r="J88" s="8">
        <v>345.4</v>
      </c>
      <c r="K88" s="8">
        <v>1.075</v>
      </c>
      <c r="L88">
        <v>0</v>
      </c>
    </row>
    <row r="90" spans="1:30" ht="15" thickBot="1" x14ac:dyDescent="0.4">
      <c r="G90" t="s">
        <v>18</v>
      </c>
      <c r="H90" t="s">
        <v>24</v>
      </c>
      <c r="J90" t="s">
        <v>1</v>
      </c>
      <c r="K90" t="s">
        <v>23</v>
      </c>
      <c r="M90" t="s">
        <v>7</v>
      </c>
      <c r="N90" t="s">
        <v>38</v>
      </c>
      <c r="P90" t="s">
        <v>16</v>
      </c>
      <c r="Q90" t="s">
        <v>39</v>
      </c>
      <c r="S90" t="s">
        <v>19</v>
      </c>
      <c r="T90" t="s">
        <v>41</v>
      </c>
      <c r="V90" t="s">
        <v>21</v>
      </c>
      <c r="W90" t="s">
        <v>42</v>
      </c>
      <c r="Y90" t="s">
        <v>44</v>
      </c>
      <c r="Z90" t="s">
        <v>45</v>
      </c>
      <c r="AB90" t="s">
        <v>47</v>
      </c>
      <c r="AC90" t="s">
        <v>48</v>
      </c>
    </row>
    <row r="91" spans="1:30" ht="15" thickBot="1" x14ac:dyDescent="0.4">
      <c r="A91" s="13" t="s">
        <v>30</v>
      </c>
      <c r="B91" s="13" t="s">
        <v>29</v>
      </c>
      <c r="C91" s="13" t="s">
        <v>31</v>
      </c>
      <c r="D91" s="13" t="s">
        <v>27</v>
      </c>
      <c r="E91" s="13" t="s">
        <v>25</v>
      </c>
      <c r="F91" s="21" t="s">
        <v>28</v>
      </c>
      <c r="G91" t="s">
        <v>53</v>
      </c>
      <c r="H91" t="s">
        <v>54</v>
      </c>
      <c r="I91" t="s">
        <v>55</v>
      </c>
      <c r="J91" t="s">
        <v>53</v>
      </c>
      <c r="K91" t="s">
        <v>54</v>
      </c>
      <c r="L91" t="s">
        <v>55</v>
      </c>
      <c r="M91" t="s">
        <v>53</v>
      </c>
      <c r="N91" t="s">
        <v>54</v>
      </c>
      <c r="O91" t="s">
        <v>55</v>
      </c>
      <c r="P91" t="s">
        <v>53</v>
      </c>
      <c r="Q91" t="s">
        <v>54</v>
      </c>
      <c r="R91" t="s">
        <v>55</v>
      </c>
      <c r="S91" t="s">
        <v>53</v>
      </c>
      <c r="T91" t="s">
        <v>54</v>
      </c>
      <c r="U91" t="s">
        <v>55</v>
      </c>
      <c r="V91" t="s">
        <v>53</v>
      </c>
      <c r="W91" t="s">
        <v>54</v>
      </c>
      <c r="X91" t="s">
        <v>55</v>
      </c>
      <c r="Y91" t="s">
        <v>53</v>
      </c>
      <c r="Z91" t="s">
        <v>54</v>
      </c>
      <c r="AA91" t="s">
        <v>55</v>
      </c>
      <c r="AB91" t="s">
        <v>53</v>
      </c>
      <c r="AC91" t="s">
        <v>54</v>
      </c>
      <c r="AD91" t="s">
        <v>55</v>
      </c>
    </row>
    <row r="92" spans="1:30" ht="15" thickBot="1" x14ac:dyDescent="0.4">
      <c r="A92" s="10" t="s">
        <v>52</v>
      </c>
      <c r="B92" s="11" t="s">
        <v>46</v>
      </c>
      <c r="C92" s="11" t="s">
        <v>49</v>
      </c>
      <c r="D92" s="11">
        <v>4.0795999999999999E-2</v>
      </c>
      <c r="E92" s="18">
        <v>44890</v>
      </c>
      <c r="F92" s="22">
        <v>2.7263773148148149</v>
      </c>
      <c r="G92" s="8">
        <v>5567</v>
      </c>
      <c r="H92" s="8">
        <v>142.6</v>
      </c>
      <c r="I92">
        <v>2.3633144987030851E-2</v>
      </c>
      <c r="J92" s="8">
        <v>522.9</v>
      </c>
      <c r="K92" s="8">
        <v>46.16</v>
      </c>
      <c r="L92">
        <v>2.2198260308457754E-3</v>
      </c>
      <c r="M92" s="8">
        <v>1364</v>
      </c>
      <c r="N92" s="8">
        <v>35.6</v>
      </c>
      <c r="O92">
        <v>5.7904813656026724E-3</v>
      </c>
      <c r="P92" s="8">
        <v>6978</v>
      </c>
      <c r="Q92" s="8">
        <v>184.5</v>
      </c>
      <c r="R92">
        <v>2.9623151736932148E-2</v>
      </c>
      <c r="S92" s="8">
        <v>2209</v>
      </c>
      <c r="T92" s="8">
        <v>145.19999999999999</v>
      </c>
      <c r="U92">
        <v>9.3776930620354144E-3</v>
      </c>
      <c r="V92" s="8">
        <v>2983</v>
      </c>
      <c r="W92" s="8">
        <v>146.1</v>
      </c>
      <c r="X92">
        <v>1.2663494071548953E-2</v>
      </c>
      <c r="Y92" s="8">
        <v>643.1</v>
      </c>
      <c r="Z92" s="8">
        <v>58.06</v>
      </c>
      <c r="AA92">
        <v>2.7301015881371548E-3</v>
      </c>
      <c r="AB92" s="8">
        <v>620.29999999999995</v>
      </c>
      <c r="AC92" s="8">
        <v>46.72</v>
      </c>
      <c r="AD92">
        <v>2.6333105506476081E-3</v>
      </c>
    </row>
    <row r="94" spans="1:30" ht="15" thickBot="1" x14ac:dyDescent="0.4">
      <c r="G94" t="s">
        <v>18</v>
      </c>
      <c r="H94" t="s">
        <v>24</v>
      </c>
      <c r="J94" t="s">
        <v>1</v>
      </c>
      <c r="K94" t="s">
        <v>23</v>
      </c>
      <c r="M94" t="s">
        <v>7</v>
      </c>
      <c r="N94" t="s">
        <v>38</v>
      </c>
      <c r="P94" t="s">
        <v>16</v>
      </c>
      <c r="Q94" t="s">
        <v>39</v>
      </c>
      <c r="S94" t="s">
        <v>19</v>
      </c>
      <c r="T94" t="s">
        <v>41</v>
      </c>
      <c r="V94" t="s">
        <v>21</v>
      </c>
      <c r="W94" t="s">
        <v>42</v>
      </c>
      <c r="Y94" t="s">
        <v>44</v>
      </c>
      <c r="Z94" t="s">
        <v>45</v>
      </c>
      <c r="AB94" t="s">
        <v>47</v>
      </c>
      <c r="AC94" t="s">
        <v>48</v>
      </c>
    </row>
    <row r="95" spans="1:30" ht="15" thickBot="1" x14ac:dyDescent="0.4">
      <c r="A95" s="13" t="s">
        <v>30</v>
      </c>
      <c r="B95" s="13" t="s">
        <v>29</v>
      </c>
      <c r="C95" s="13" t="s">
        <v>31</v>
      </c>
      <c r="D95" s="13" t="s">
        <v>27</v>
      </c>
      <c r="E95" s="13" t="s">
        <v>25</v>
      </c>
      <c r="F95" s="21" t="s">
        <v>28</v>
      </c>
      <c r="G95" t="s">
        <v>18</v>
      </c>
      <c r="H95" t="s">
        <v>24</v>
      </c>
      <c r="I95" t="s">
        <v>55</v>
      </c>
      <c r="J95" t="s">
        <v>1</v>
      </c>
      <c r="K95" t="s">
        <v>23</v>
      </c>
      <c r="L95" t="s">
        <v>55</v>
      </c>
      <c r="M95" t="s">
        <v>7</v>
      </c>
      <c r="N95" t="s">
        <v>38</v>
      </c>
      <c r="O95" t="s">
        <v>55</v>
      </c>
      <c r="P95" t="s">
        <v>16</v>
      </c>
      <c r="Q95" t="s">
        <v>39</v>
      </c>
      <c r="R95" t="s">
        <v>55</v>
      </c>
      <c r="S95" t="s">
        <v>19</v>
      </c>
      <c r="T95" t="s">
        <v>41</v>
      </c>
      <c r="U95" t="s">
        <v>55</v>
      </c>
      <c r="V95" t="s">
        <v>21</v>
      </c>
      <c r="W95" t="s">
        <v>42</v>
      </c>
      <c r="X95" t="s">
        <v>55</v>
      </c>
      <c r="Y95" t="s">
        <v>44</v>
      </c>
      <c r="Z95" t="s">
        <v>45</v>
      </c>
      <c r="AA95" t="s">
        <v>55</v>
      </c>
      <c r="AB95" t="s">
        <v>47</v>
      </c>
      <c r="AC95" t="s">
        <v>48</v>
      </c>
      <c r="AD95" t="s">
        <v>55</v>
      </c>
    </row>
    <row r="96" spans="1:30" ht="15" thickBot="1" x14ac:dyDescent="0.4">
      <c r="A96" s="13" t="s">
        <v>52</v>
      </c>
      <c r="B96" s="13" t="s">
        <v>46</v>
      </c>
      <c r="C96" s="13" t="s">
        <v>49</v>
      </c>
      <c r="D96" s="13">
        <v>4.0795999999999999E-2</v>
      </c>
      <c r="E96" s="19">
        <v>44890</v>
      </c>
      <c r="F96" s="21">
        <v>2.7263773148148149</v>
      </c>
      <c r="G96" s="8" t="s">
        <v>53</v>
      </c>
      <c r="H96" s="8" t="s">
        <v>54</v>
      </c>
      <c r="I96" t="s">
        <v>55</v>
      </c>
      <c r="J96" s="8" t="s">
        <v>53</v>
      </c>
      <c r="K96" s="8" t="s">
        <v>54</v>
      </c>
      <c r="L96" t="s">
        <v>55</v>
      </c>
      <c r="M96" s="8" t="s">
        <v>53</v>
      </c>
      <c r="N96" s="8" t="s">
        <v>54</v>
      </c>
      <c r="O96" t="s">
        <v>55</v>
      </c>
      <c r="P96" s="8" t="s">
        <v>53</v>
      </c>
      <c r="Q96" s="8" t="s">
        <v>54</v>
      </c>
      <c r="R96" t="s">
        <v>55</v>
      </c>
      <c r="S96" s="8" t="s">
        <v>53</v>
      </c>
      <c r="T96" s="8" t="s">
        <v>54</v>
      </c>
      <c r="U96" t="s">
        <v>55</v>
      </c>
      <c r="V96" s="8" t="s">
        <v>53</v>
      </c>
      <c r="W96" s="8" t="s">
        <v>54</v>
      </c>
      <c r="X96" t="s">
        <v>55</v>
      </c>
      <c r="Y96" s="8" t="s">
        <v>53</v>
      </c>
      <c r="Z96" s="8" t="s">
        <v>54</v>
      </c>
      <c r="AA96" t="s">
        <v>55</v>
      </c>
      <c r="AB96" s="8" t="s">
        <v>53</v>
      </c>
      <c r="AC96" s="8" t="s">
        <v>54</v>
      </c>
      <c r="AD96" t="s">
        <v>55</v>
      </c>
    </row>
    <row r="97" spans="1:30" ht="15" thickBot="1" x14ac:dyDescent="0.4">
      <c r="A97" s="10" t="s">
        <v>69</v>
      </c>
      <c r="B97" s="11" t="s">
        <v>46</v>
      </c>
      <c r="C97" s="11" t="s">
        <v>49</v>
      </c>
      <c r="D97" s="11">
        <v>1</v>
      </c>
      <c r="E97" s="18">
        <v>44904</v>
      </c>
      <c r="F97" s="22">
        <v>0.11574074074074074</v>
      </c>
      <c r="G97" s="8">
        <v>196.4</v>
      </c>
      <c r="H97" s="8">
        <v>15.06</v>
      </c>
      <c r="I97">
        <v>1.9640000000000001E-2</v>
      </c>
      <c r="J97" s="8">
        <v>1223</v>
      </c>
      <c r="K97" s="8">
        <v>45.3</v>
      </c>
      <c r="L97">
        <v>0.12230000000000001</v>
      </c>
      <c r="O97">
        <v>0</v>
      </c>
      <c r="P97" s="8">
        <v>278.10000000000002</v>
      </c>
      <c r="Q97" s="8">
        <v>30.59</v>
      </c>
      <c r="R97">
        <v>2.7810000000000001E-2</v>
      </c>
      <c r="S97" s="8">
        <v>11200</v>
      </c>
      <c r="T97" s="8">
        <v>98.33</v>
      </c>
      <c r="U97">
        <v>1.1200000000000001</v>
      </c>
      <c r="V97" s="8">
        <v>14770</v>
      </c>
      <c r="W97" s="8">
        <v>117.2</v>
      </c>
      <c r="X97">
        <v>1.4770000000000001</v>
      </c>
      <c r="Y97" s="8">
        <v>3105</v>
      </c>
      <c r="Z97" s="8">
        <v>61.13</v>
      </c>
      <c r="AA97">
        <v>0.3105</v>
      </c>
      <c r="AD97">
        <v>0</v>
      </c>
    </row>
    <row r="99" spans="1:30" ht="15" thickBot="1" x14ac:dyDescent="0.4">
      <c r="G99" t="s">
        <v>18</v>
      </c>
      <c r="H99" t="s">
        <v>24</v>
      </c>
      <c r="J99" t="s">
        <v>1</v>
      </c>
      <c r="K99" t="s">
        <v>23</v>
      </c>
      <c r="M99" t="s">
        <v>7</v>
      </c>
      <c r="N99" t="s">
        <v>38</v>
      </c>
      <c r="P99" t="s">
        <v>16</v>
      </c>
      <c r="Q99" t="s">
        <v>39</v>
      </c>
      <c r="S99" t="s">
        <v>19</v>
      </c>
      <c r="T99" t="s">
        <v>41</v>
      </c>
      <c r="V99" t="s">
        <v>21</v>
      </c>
      <c r="W99" t="s">
        <v>42</v>
      </c>
      <c r="Y99" t="s">
        <v>44</v>
      </c>
      <c r="Z99" t="s">
        <v>45</v>
      </c>
      <c r="AB99" t="s">
        <v>47</v>
      </c>
      <c r="AC99" t="s">
        <v>48</v>
      </c>
    </row>
    <row r="100" spans="1:30" ht="15" thickBot="1" x14ac:dyDescent="0.4">
      <c r="A100" s="13" t="s">
        <v>30</v>
      </c>
      <c r="B100" s="13" t="s">
        <v>29</v>
      </c>
      <c r="C100" s="13" t="s">
        <v>31</v>
      </c>
      <c r="D100" s="13" t="s">
        <v>27</v>
      </c>
      <c r="E100" s="13" t="s">
        <v>25</v>
      </c>
      <c r="F100" s="21" t="s">
        <v>28</v>
      </c>
      <c r="G100" t="s">
        <v>18</v>
      </c>
      <c r="H100" t="s">
        <v>24</v>
      </c>
      <c r="I100" t="s">
        <v>55</v>
      </c>
      <c r="J100" t="s">
        <v>1</v>
      </c>
      <c r="K100" t="s">
        <v>23</v>
      </c>
      <c r="L100" t="s">
        <v>55</v>
      </c>
      <c r="M100" t="s">
        <v>7</v>
      </c>
      <c r="N100" t="s">
        <v>38</v>
      </c>
      <c r="O100" t="s">
        <v>55</v>
      </c>
      <c r="P100" t="s">
        <v>16</v>
      </c>
      <c r="Q100" t="s">
        <v>39</v>
      </c>
      <c r="R100" t="s">
        <v>55</v>
      </c>
      <c r="S100" t="s">
        <v>19</v>
      </c>
      <c r="T100" t="s">
        <v>41</v>
      </c>
      <c r="U100" t="s">
        <v>55</v>
      </c>
      <c r="V100" t="s">
        <v>21</v>
      </c>
      <c r="W100" t="s">
        <v>42</v>
      </c>
      <c r="X100" t="s">
        <v>55</v>
      </c>
      <c r="Y100" t="s">
        <v>44</v>
      </c>
      <c r="Z100" t="s">
        <v>45</v>
      </c>
      <c r="AA100" t="s">
        <v>55</v>
      </c>
      <c r="AB100" t="s">
        <v>47</v>
      </c>
      <c r="AC100" t="s">
        <v>48</v>
      </c>
      <c r="AD100" t="s">
        <v>55</v>
      </c>
    </row>
    <row r="101" spans="1:30" ht="15" thickBot="1" x14ac:dyDescent="0.4">
      <c r="A101" s="13" t="s">
        <v>52</v>
      </c>
      <c r="B101" s="13" t="s">
        <v>46</v>
      </c>
      <c r="C101" s="13" t="s">
        <v>49</v>
      </c>
      <c r="D101" s="13">
        <v>4.0795999999999999E-2</v>
      </c>
      <c r="E101" s="19">
        <v>44890</v>
      </c>
      <c r="F101" s="21">
        <v>2.7263773148148149</v>
      </c>
      <c r="G101" s="8" t="s">
        <v>53</v>
      </c>
      <c r="H101" s="8" t="s">
        <v>54</v>
      </c>
      <c r="I101" t="s">
        <v>55</v>
      </c>
      <c r="J101" s="8" t="s">
        <v>53</v>
      </c>
      <c r="K101" s="8" t="s">
        <v>54</v>
      </c>
      <c r="L101" t="s">
        <v>55</v>
      </c>
      <c r="M101" s="8" t="s">
        <v>53</v>
      </c>
      <c r="N101" s="8" t="s">
        <v>54</v>
      </c>
      <c r="O101" t="s">
        <v>55</v>
      </c>
      <c r="P101" s="8" t="s">
        <v>53</v>
      </c>
      <c r="Q101" s="8" t="s">
        <v>54</v>
      </c>
      <c r="R101" t="s">
        <v>55</v>
      </c>
      <c r="S101" s="8" t="s">
        <v>53</v>
      </c>
      <c r="T101" s="8" t="s">
        <v>54</v>
      </c>
      <c r="U101" t="s">
        <v>55</v>
      </c>
      <c r="V101" s="8" t="s">
        <v>53</v>
      </c>
      <c r="W101" s="8" t="s">
        <v>54</v>
      </c>
      <c r="X101" t="s">
        <v>55</v>
      </c>
      <c r="Y101" s="8" t="s">
        <v>53</v>
      </c>
      <c r="Z101" s="8" t="s">
        <v>54</v>
      </c>
      <c r="AA101" t="s">
        <v>55</v>
      </c>
      <c r="AB101" s="8" t="s">
        <v>53</v>
      </c>
      <c r="AC101" s="8" t="s">
        <v>54</v>
      </c>
      <c r="AD101" t="s">
        <v>55</v>
      </c>
    </row>
    <row r="102" spans="1:30" ht="15" thickBot="1" x14ac:dyDescent="0.4">
      <c r="A102" s="10" t="s">
        <v>69</v>
      </c>
      <c r="B102" s="11" t="s">
        <v>46</v>
      </c>
      <c r="C102" s="11" t="s">
        <v>49</v>
      </c>
      <c r="D102" s="11">
        <v>1</v>
      </c>
      <c r="E102" s="18">
        <v>44904</v>
      </c>
      <c r="F102" s="22">
        <v>0.11574074074074074</v>
      </c>
      <c r="G102" s="8">
        <v>196.4</v>
      </c>
      <c r="H102" s="8">
        <v>15.06</v>
      </c>
      <c r="I102">
        <v>1.9640000000000001E-2</v>
      </c>
      <c r="J102" s="8">
        <v>1223</v>
      </c>
      <c r="K102" s="8">
        <v>45.3</v>
      </c>
      <c r="L102">
        <v>0.12230000000000001</v>
      </c>
      <c r="O102">
        <v>0</v>
      </c>
      <c r="P102" s="8">
        <v>278.10000000000002</v>
      </c>
      <c r="Q102" s="8">
        <v>30.59</v>
      </c>
      <c r="R102">
        <v>2.7810000000000001E-2</v>
      </c>
      <c r="S102" s="8">
        <v>11200</v>
      </c>
      <c r="T102" s="8">
        <v>98.33</v>
      </c>
      <c r="U102">
        <v>1.1200000000000001</v>
      </c>
      <c r="V102" s="8">
        <v>14770</v>
      </c>
      <c r="W102" s="8">
        <v>117.2</v>
      </c>
      <c r="X102">
        <v>1.4770000000000001</v>
      </c>
      <c r="Y102" s="8">
        <v>3105</v>
      </c>
      <c r="Z102" s="8">
        <v>61.13</v>
      </c>
      <c r="AA102">
        <v>0.3105</v>
      </c>
      <c r="AD102">
        <v>0</v>
      </c>
    </row>
    <row r="104" spans="1:30" ht="15" thickBot="1" x14ac:dyDescent="0.4">
      <c r="G104" t="s">
        <v>18</v>
      </c>
      <c r="H104" t="s">
        <v>24</v>
      </c>
      <c r="J104" t="s">
        <v>1</v>
      </c>
      <c r="K104" t="s">
        <v>23</v>
      </c>
      <c r="M104" t="s">
        <v>7</v>
      </c>
      <c r="N104" t="s">
        <v>38</v>
      </c>
      <c r="P104" t="s">
        <v>16</v>
      </c>
      <c r="Q104" t="s">
        <v>39</v>
      </c>
      <c r="S104" t="s">
        <v>19</v>
      </c>
      <c r="T104" t="s">
        <v>41</v>
      </c>
      <c r="V104" t="s">
        <v>21</v>
      </c>
      <c r="W104" t="s">
        <v>42</v>
      </c>
      <c r="Y104" t="s">
        <v>44</v>
      </c>
      <c r="Z104" t="s">
        <v>45</v>
      </c>
      <c r="AB104" t="s">
        <v>47</v>
      </c>
      <c r="AC104" t="s">
        <v>48</v>
      </c>
    </row>
    <row r="105" spans="1:30" ht="15" thickBot="1" x14ac:dyDescent="0.4">
      <c r="A105" s="13" t="s">
        <v>30</v>
      </c>
      <c r="B105" s="13" t="s">
        <v>29</v>
      </c>
      <c r="C105" s="13" t="s">
        <v>31</v>
      </c>
      <c r="D105" s="13" t="s">
        <v>27</v>
      </c>
      <c r="E105" s="13" t="s">
        <v>25</v>
      </c>
      <c r="F105" s="21" t="s">
        <v>28</v>
      </c>
      <c r="G105" t="s">
        <v>18</v>
      </c>
      <c r="H105" t="s">
        <v>24</v>
      </c>
      <c r="I105" t="s">
        <v>55</v>
      </c>
      <c r="J105" t="s">
        <v>1</v>
      </c>
      <c r="K105" t="s">
        <v>23</v>
      </c>
      <c r="L105" t="s">
        <v>55</v>
      </c>
      <c r="M105" t="s">
        <v>7</v>
      </c>
      <c r="N105" t="s">
        <v>38</v>
      </c>
      <c r="O105" t="s">
        <v>55</v>
      </c>
      <c r="P105" t="s">
        <v>16</v>
      </c>
      <c r="Q105" t="s">
        <v>39</v>
      </c>
      <c r="R105" t="s">
        <v>55</v>
      </c>
      <c r="S105" t="s">
        <v>19</v>
      </c>
      <c r="T105" t="s">
        <v>41</v>
      </c>
      <c r="U105" t="s">
        <v>55</v>
      </c>
      <c r="V105" t="s">
        <v>21</v>
      </c>
      <c r="W105" t="s">
        <v>42</v>
      </c>
      <c r="X105" t="s">
        <v>55</v>
      </c>
      <c r="Y105" t="s">
        <v>44</v>
      </c>
      <c r="Z105" t="s">
        <v>45</v>
      </c>
      <c r="AA105" t="s">
        <v>55</v>
      </c>
      <c r="AB105" t="s">
        <v>47</v>
      </c>
      <c r="AC105" t="s">
        <v>48</v>
      </c>
      <c r="AD105" t="s">
        <v>55</v>
      </c>
    </row>
    <row r="106" spans="1:30" ht="15" thickBot="1" x14ac:dyDescent="0.4">
      <c r="A106" s="13" t="s">
        <v>52</v>
      </c>
      <c r="B106" s="13" t="s">
        <v>46</v>
      </c>
      <c r="C106" s="13" t="s">
        <v>49</v>
      </c>
      <c r="D106" s="13">
        <v>4.0795999999999999E-2</v>
      </c>
      <c r="E106" s="19">
        <v>44890</v>
      </c>
      <c r="F106" s="21">
        <v>2.7263773148148149</v>
      </c>
      <c r="G106" s="8" t="s">
        <v>53</v>
      </c>
      <c r="H106" s="8" t="s">
        <v>54</v>
      </c>
      <c r="I106" t="s">
        <v>55</v>
      </c>
      <c r="J106" s="8" t="s">
        <v>53</v>
      </c>
      <c r="K106" s="8" t="s">
        <v>54</v>
      </c>
      <c r="L106" t="s">
        <v>55</v>
      </c>
      <c r="M106" s="8" t="s">
        <v>53</v>
      </c>
      <c r="N106" s="8" t="s">
        <v>54</v>
      </c>
      <c r="O106" t="s">
        <v>55</v>
      </c>
      <c r="P106" s="8" t="s">
        <v>53</v>
      </c>
      <c r="Q106" s="8" t="s">
        <v>54</v>
      </c>
      <c r="R106" t="s">
        <v>55</v>
      </c>
      <c r="S106" s="8" t="s">
        <v>53</v>
      </c>
      <c r="T106" s="8" t="s">
        <v>54</v>
      </c>
      <c r="U106" t="s">
        <v>55</v>
      </c>
      <c r="V106" s="8" t="s">
        <v>53</v>
      </c>
      <c r="W106" s="8" t="s">
        <v>54</v>
      </c>
      <c r="X106" t="s">
        <v>55</v>
      </c>
      <c r="Y106" s="8" t="s">
        <v>53</v>
      </c>
      <c r="Z106" s="8" t="s">
        <v>54</v>
      </c>
      <c r="AA106" t="s">
        <v>55</v>
      </c>
      <c r="AB106" s="8" t="s">
        <v>53</v>
      </c>
      <c r="AC106" s="8" t="s">
        <v>54</v>
      </c>
      <c r="AD106" t="s">
        <v>55</v>
      </c>
    </row>
    <row r="107" spans="1:30" ht="15" thickBot="1" x14ac:dyDescent="0.4">
      <c r="A107" s="10" t="s">
        <v>69</v>
      </c>
      <c r="B107" s="11" t="s">
        <v>46</v>
      </c>
      <c r="C107" s="11" t="s">
        <v>49</v>
      </c>
      <c r="D107" s="11">
        <v>1</v>
      </c>
      <c r="E107" s="18">
        <v>44904</v>
      </c>
      <c r="F107" s="22">
        <v>0.11574074074074074</v>
      </c>
      <c r="G107" s="8">
        <v>196.4</v>
      </c>
      <c r="H107" s="8">
        <v>15.06</v>
      </c>
      <c r="I107">
        <v>1.9640000000000001E-2</v>
      </c>
      <c r="J107" s="8">
        <v>1223</v>
      </c>
      <c r="K107" s="8">
        <v>45.3</v>
      </c>
      <c r="L107">
        <v>0.12230000000000001</v>
      </c>
      <c r="O107">
        <v>0</v>
      </c>
      <c r="P107" s="8">
        <v>278.10000000000002</v>
      </c>
      <c r="Q107" s="8">
        <v>30.59</v>
      </c>
      <c r="R107">
        <v>2.7810000000000001E-2</v>
      </c>
      <c r="S107" s="8">
        <v>11200</v>
      </c>
      <c r="T107" s="8">
        <v>98.33</v>
      </c>
      <c r="U107">
        <v>1.1200000000000001</v>
      </c>
      <c r="V107" s="8">
        <v>14770</v>
      </c>
      <c r="W107" s="8">
        <v>117.2</v>
      </c>
      <c r="X107">
        <v>1.4770000000000001</v>
      </c>
      <c r="Y107" s="8">
        <v>3105</v>
      </c>
      <c r="Z107" s="8">
        <v>61.13</v>
      </c>
      <c r="AA107">
        <v>0.3105</v>
      </c>
      <c r="AD107">
        <v>0</v>
      </c>
    </row>
    <row r="109" spans="1:30" ht="15" thickBot="1" x14ac:dyDescent="0.4">
      <c r="G109" t="s">
        <v>18</v>
      </c>
      <c r="H109" t="s">
        <v>24</v>
      </c>
      <c r="J109" t="s">
        <v>1</v>
      </c>
      <c r="K109" t="s">
        <v>23</v>
      </c>
      <c r="M109" t="s">
        <v>7</v>
      </c>
      <c r="N109" t="s">
        <v>38</v>
      </c>
      <c r="P109" t="s">
        <v>16</v>
      </c>
      <c r="Q109" t="s">
        <v>39</v>
      </c>
      <c r="S109" t="s">
        <v>19</v>
      </c>
      <c r="T109" t="s">
        <v>41</v>
      </c>
      <c r="V109" t="s">
        <v>21</v>
      </c>
      <c r="W109" t="s">
        <v>42</v>
      </c>
      <c r="Y109" t="s">
        <v>44</v>
      </c>
      <c r="Z109" t="s">
        <v>45</v>
      </c>
      <c r="AB109" t="s">
        <v>47</v>
      </c>
      <c r="AC109" t="s">
        <v>48</v>
      </c>
    </row>
    <row r="110" spans="1:30" ht="15" thickBot="1" x14ac:dyDescent="0.4">
      <c r="A110" s="13" t="s">
        <v>30</v>
      </c>
      <c r="B110" s="13" t="s">
        <v>29</v>
      </c>
      <c r="C110" s="13" t="s">
        <v>31</v>
      </c>
      <c r="D110" s="13" t="s">
        <v>27</v>
      </c>
      <c r="E110" s="13" t="s">
        <v>25</v>
      </c>
      <c r="F110" s="21" t="s">
        <v>28</v>
      </c>
      <c r="G110" t="s">
        <v>18</v>
      </c>
      <c r="H110" t="s">
        <v>24</v>
      </c>
      <c r="I110" t="s">
        <v>55</v>
      </c>
      <c r="J110" t="s">
        <v>1</v>
      </c>
      <c r="K110" t="s">
        <v>23</v>
      </c>
      <c r="L110" t="s">
        <v>55</v>
      </c>
      <c r="M110" t="s">
        <v>7</v>
      </c>
      <c r="N110" t="s">
        <v>38</v>
      </c>
      <c r="O110" t="s">
        <v>55</v>
      </c>
      <c r="P110" t="s">
        <v>16</v>
      </c>
      <c r="Q110" t="s">
        <v>39</v>
      </c>
      <c r="R110" t="s">
        <v>55</v>
      </c>
      <c r="S110" t="s">
        <v>19</v>
      </c>
      <c r="T110" t="s">
        <v>41</v>
      </c>
      <c r="U110" t="s">
        <v>55</v>
      </c>
      <c r="V110" t="s">
        <v>21</v>
      </c>
      <c r="W110" t="s">
        <v>42</v>
      </c>
      <c r="X110" t="s">
        <v>55</v>
      </c>
      <c r="Y110" t="s">
        <v>44</v>
      </c>
      <c r="Z110" t="s">
        <v>45</v>
      </c>
      <c r="AA110" t="s">
        <v>55</v>
      </c>
      <c r="AB110" t="s">
        <v>47</v>
      </c>
      <c r="AC110" t="s">
        <v>48</v>
      </c>
      <c r="AD110" t="s">
        <v>55</v>
      </c>
    </row>
    <row r="111" spans="1:30" ht="15" thickBot="1" x14ac:dyDescent="0.4">
      <c r="A111" s="13" t="s">
        <v>52</v>
      </c>
      <c r="B111" s="13" t="s">
        <v>46</v>
      </c>
      <c r="C111" s="13" t="s">
        <v>49</v>
      </c>
      <c r="D111" s="13">
        <v>4.0795999999999999E-2</v>
      </c>
      <c r="E111" s="19">
        <v>44890</v>
      </c>
      <c r="F111" s="21">
        <v>2.7263773148148149</v>
      </c>
      <c r="G111" s="8" t="s">
        <v>53</v>
      </c>
      <c r="H111" s="8" t="s">
        <v>54</v>
      </c>
      <c r="I111" t="s">
        <v>55</v>
      </c>
      <c r="J111" s="8" t="s">
        <v>53</v>
      </c>
      <c r="K111" s="8" t="s">
        <v>54</v>
      </c>
      <c r="L111" t="s">
        <v>55</v>
      </c>
      <c r="M111" s="8" t="s">
        <v>53</v>
      </c>
      <c r="N111" s="8" t="s">
        <v>54</v>
      </c>
      <c r="O111" t="s">
        <v>55</v>
      </c>
      <c r="P111" s="8" t="s">
        <v>53</v>
      </c>
      <c r="Q111" s="8" t="s">
        <v>54</v>
      </c>
      <c r="R111" t="s">
        <v>55</v>
      </c>
      <c r="S111" s="8" t="s">
        <v>53</v>
      </c>
      <c r="T111" s="8" t="s">
        <v>54</v>
      </c>
      <c r="U111" t="s">
        <v>55</v>
      </c>
      <c r="V111" s="8" t="s">
        <v>53</v>
      </c>
      <c r="W111" s="8" t="s">
        <v>54</v>
      </c>
      <c r="X111" t="s">
        <v>55</v>
      </c>
      <c r="Y111" s="8" t="s">
        <v>53</v>
      </c>
      <c r="Z111" s="8" t="s">
        <v>54</v>
      </c>
      <c r="AA111" t="s">
        <v>55</v>
      </c>
      <c r="AB111" s="8" t="s">
        <v>53</v>
      </c>
      <c r="AC111" s="8" t="s">
        <v>54</v>
      </c>
      <c r="AD111" t="s">
        <v>55</v>
      </c>
    </row>
    <row r="112" spans="1:30" ht="15" thickBot="1" x14ac:dyDescent="0.4">
      <c r="A112" s="10" t="s">
        <v>69</v>
      </c>
      <c r="B112" s="11" t="s">
        <v>46</v>
      </c>
      <c r="C112" s="11" t="s">
        <v>49</v>
      </c>
      <c r="D112" s="11">
        <v>1</v>
      </c>
      <c r="E112" s="18">
        <v>44904</v>
      </c>
      <c r="F112" s="22">
        <v>0.11574074074074074</v>
      </c>
      <c r="G112" s="8">
        <v>196.4</v>
      </c>
      <c r="H112" s="8">
        <v>15.06</v>
      </c>
      <c r="I112">
        <v>1.9640000000000001E-2</v>
      </c>
      <c r="J112" s="8">
        <v>1223</v>
      </c>
      <c r="K112" s="8">
        <v>45.3</v>
      </c>
      <c r="L112">
        <v>0.12230000000000001</v>
      </c>
      <c r="O112">
        <v>0</v>
      </c>
      <c r="P112" s="8">
        <v>278.10000000000002</v>
      </c>
      <c r="Q112" s="8">
        <v>30.59</v>
      </c>
      <c r="R112">
        <v>2.7810000000000001E-2</v>
      </c>
      <c r="S112" s="8">
        <v>11200</v>
      </c>
      <c r="T112" s="8">
        <v>98.33</v>
      </c>
      <c r="U112">
        <v>1.1200000000000001</v>
      </c>
      <c r="V112" s="8">
        <v>14770</v>
      </c>
      <c r="W112" s="8">
        <v>117.2</v>
      </c>
      <c r="X112">
        <v>1.4770000000000001</v>
      </c>
      <c r="Y112" s="8">
        <v>3105</v>
      </c>
      <c r="Z112" s="8">
        <v>61.13</v>
      </c>
      <c r="AA112">
        <v>0.3105</v>
      </c>
      <c r="AD112">
        <v>0</v>
      </c>
    </row>
    <row r="114" spans="1:30" ht="15" thickBot="1" x14ac:dyDescent="0.4">
      <c r="G114" t="s">
        <v>18</v>
      </c>
      <c r="H114" t="s">
        <v>24</v>
      </c>
      <c r="J114" t="s">
        <v>1</v>
      </c>
      <c r="K114" t="s">
        <v>23</v>
      </c>
      <c r="M114" t="s">
        <v>7</v>
      </c>
      <c r="N114" t="s">
        <v>38</v>
      </c>
      <c r="P114" t="s">
        <v>16</v>
      </c>
      <c r="Q114" t="s">
        <v>39</v>
      </c>
      <c r="S114" t="s">
        <v>19</v>
      </c>
      <c r="T114" t="s">
        <v>41</v>
      </c>
      <c r="V114" t="s">
        <v>21</v>
      </c>
      <c r="W114" t="s">
        <v>42</v>
      </c>
      <c r="Y114" t="s">
        <v>44</v>
      </c>
      <c r="Z114" t="s">
        <v>45</v>
      </c>
      <c r="AB114" t="s">
        <v>47</v>
      </c>
      <c r="AC114" t="s">
        <v>48</v>
      </c>
    </row>
    <row r="115" spans="1:30" ht="15" thickBot="1" x14ac:dyDescent="0.4">
      <c r="A115" s="13" t="s">
        <v>30</v>
      </c>
      <c r="B115" s="13" t="s">
        <v>29</v>
      </c>
      <c r="C115" s="13" t="s">
        <v>31</v>
      </c>
      <c r="D115" s="13" t="s">
        <v>27</v>
      </c>
      <c r="E115" s="13" t="s">
        <v>25</v>
      </c>
      <c r="F115" s="21" t="s">
        <v>28</v>
      </c>
      <c r="G115" t="s">
        <v>18</v>
      </c>
      <c r="H115" t="s">
        <v>24</v>
      </c>
      <c r="I115" t="s">
        <v>55</v>
      </c>
      <c r="J115" t="s">
        <v>1</v>
      </c>
      <c r="K115" t="s">
        <v>23</v>
      </c>
      <c r="L115" t="s">
        <v>55</v>
      </c>
      <c r="M115" t="s">
        <v>7</v>
      </c>
      <c r="N115" t="s">
        <v>38</v>
      </c>
      <c r="O115" t="s">
        <v>55</v>
      </c>
      <c r="P115" t="s">
        <v>16</v>
      </c>
      <c r="Q115" t="s">
        <v>39</v>
      </c>
      <c r="R115" t="s">
        <v>55</v>
      </c>
      <c r="S115" t="s">
        <v>19</v>
      </c>
      <c r="T115" t="s">
        <v>41</v>
      </c>
      <c r="U115" t="s">
        <v>55</v>
      </c>
      <c r="V115" t="s">
        <v>21</v>
      </c>
      <c r="W115" t="s">
        <v>42</v>
      </c>
      <c r="X115" t="s">
        <v>55</v>
      </c>
      <c r="Y115" t="s">
        <v>44</v>
      </c>
      <c r="Z115" t="s">
        <v>45</v>
      </c>
      <c r="AA115" t="s">
        <v>55</v>
      </c>
      <c r="AB115" t="s">
        <v>47</v>
      </c>
      <c r="AC115" t="s">
        <v>48</v>
      </c>
      <c r="AD115" t="s">
        <v>55</v>
      </c>
    </row>
    <row r="116" spans="1:30" ht="15" thickBot="1" x14ac:dyDescent="0.4">
      <c r="A116" s="13" t="s">
        <v>52</v>
      </c>
      <c r="B116" s="13" t="s">
        <v>46</v>
      </c>
      <c r="C116" s="13" t="s">
        <v>49</v>
      </c>
      <c r="D116" s="13">
        <v>4.0795999999999999E-2</v>
      </c>
      <c r="E116" s="19">
        <v>44890</v>
      </c>
      <c r="F116" s="21">
        <v>2.7263773148148149</v>
      </c>
      <c r="G116" s="8" t="s">
        <v>53</v>
      </c>
      <c r="H116" s="8" t="s">
        <v>54</v>
      </c>
      <c r="I116" t="s">
        <v>55</v>
      </c>
      <c r="J116" s="8" t="s">
        <v>53</v>
      </c>
      <c r="K116" s="8" t="s">
        <v>54</v>
      </c>
      <c r="L116" t="s">
        <v>55</v>
      </c>
      <c r="M116" s="8" t="s">
        <v>53</v>
      </c>
      <c r="N116" s="8" t="s">
        <v>54</v>
      </c>
      <c r="O116" t="s">
        <v>55</v>
      </c>
      <c r="P116" s="8" t="s">
        <v>53</v>
      </c>
      <c r="Q116" s="8" t="s">
        <v>54</v>
      </c>
      <c r="R116" t="s">
        <v>55</v>
      </c>
      <c r="S116" s="8" t="s">
        <v>53</v>
      </c>
      <c r="T116" s="8" t="s">
        <v>54</v>
      </c>
      <c r="U116" t="s">
        <v>55</v>
      </c>
      <c r="V116" s="8" t="s">
        <v>53</v>
      </c>
      <c r="W116" s="8" t="s">
        <v>54</v>
      </c>
      <c r="X116" t="s">
        <v>55</v>
      </c>
      <c r="Y116" s="8" t="s">
        <v>53</v>
      </c>
      <c r="Z116" s="8" t="s">
        <v>54</v>
      </c>
      <c r="AA116" t="s">
        <v>55</v>
      </c>
      <c r="AB116" s="8" t="s">
        <v>53</v>
      </c>
      <c r="AC116" s="8" t="s">
        <v>54</v>
      </c>
      <c r="AD116" t="s">
        <v>55</v>
      </c>
    </row>
    <row r="117" spans="1:30" ht="15" thickBot="1" x14ac:dyDescent="0.4">
      <c r="A117" s="10" t="s">
        <v>69</v>
      </c>
      <c r="B117" s="11" t="s">
        <v>46</v>
      </c>
      <c r="C117" s="11" t="s">
        <v>49</v>
      </c>
      <c r="D117" s="11">
        <v>1</v>
      </c>
      <c r="E117" s="18">
        <v>44904</v>
      </c>
      <c r="F117" s="22">
        <v>0.11574074074074074</v>
      </c>
      <c r="G117" s="8">
        <v>196.4</v>
      </c>
      <c r="H117" s="8">
        <v>15.06</v>
      </c>
      <c r="I117">
        <v>1.9640000000000001E-2</v>
      </c>
      <c r="J117" s="8">
        <v>1223</v>
      </c>
      <c r="K117" s="8">
        <v>45.3</v>
      </c>
      <c r="L117">
        <v>0.12230000000000001</v>
      </c>
      <c r="O117">
        <v>0</v>
      </c>
      <c r="P117" s="8">
        <v>278.10000000000002</v>
      </c>
      <c r="Q117" s="8">
        <v>30.59</v>
      </c>
      <c r="R117">
        <v>2.7810000000000001E-2</v>
      </c>
      <c r="S117" s="8">
        <v>11200</v>
      </c>
      <c r="T117" s="8">
        <v>98.33</v>
      </c>
      <c r="U117">
        <v>1.1200000000000001</v>
      </c>
      <c r="V117" s="8">
        <v>14770</v>
      </c>
      <c r="W117" s="8">
        <v>117.2</v>
      </c>
      <c r="X117">
        <v>1.4770000000000001</v>
      </c>
      <c r="Y117" s="8">
        <v>3105</v>
      </c>
      <c r="Z117" s="8">
        <v>61.13</v>
      </c>
      <c r="AA117">
        <v>0.3105</v>
      </c>
      <c r="AD117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ImportRPTDataToExcel">
                <anchor moveWithCells="1" sizeWithCells="1">
                  <from>
                    <xdr:col>1</xdr:col>
                    <xdr:colOff>520700</xdr:colOff>
                    <xdr:row>1</xdr:row>
                    <xdr:rowOff>31750</xdr:rowOff>
                  </from>
                  <to>
                    <xdr:col>6</xdr:col>
                    <xdr:colOff>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FB53E-2CA3-4178-A055-B17056AB0CBD}">
  <sheetPr codeName="Sheet6"/>
  <dimension ref="A1:B15"/>
  <sheetViews>
    <sheetView workbookViewId="0">
      <selection activeCell="B11" sqref="B11"/>
    </sheetView>
  </sheetViews>
  <sheetFormatPr defaultRowHeight="14.5" x14ac:dyDescent="0.35"/>
  <cols>
    <col min="1" max="1" width="43.54296875" bestFit="1" customWidth="1"/>
    <col min="2" max="2" width="18.54296875" bestFit="1" customWidth="1"/>
  </cols>
  <sheetData>
    <row r="1" spans="1:2" x14ac:dyDescent="0.35">
      <c r="A1" t="s">
        <v>0</v>
      </c>
      <c r="B1" t="s">
        <v>4</v>
      </c>
    </row>
    <row r="2" spans="1:2" x14ac:dyDescent="0.35">
      <c r="A2" t="s">
        <v>18</v>
      </c>
      <c r="B2" t="s">
        <v>24</v>
      </c>
    </row>
    <row r="3" spans="1:2" x14ac:dyDescent="0.35">
      <c r="A3" t="s">
        <v>1</v>
      </c>
      <c r="B3" t="s">
        <v>23</v>
      </c>
    </row>
    <row r="4" spans="1:2" x14ac:dyDescent="0.35">
      <c r="A4" t="s">
        <v>2</v>
      </c>
      <c r="B4" t="s">
        <v>36</v>
      </c>
    </row>
    <row r="5" spans="1:2" x14ac:dyDescent="0.35">
      <c r="A5" t="s">
        <v>7</v>
      </c>
      <c r="B5" t="s">
        <v>38</v>
      </c>
    </row>
    <row r="6" spans="1:2" x14ac:dyDescent="0.35">
      <c r="A6" t="s">
        <v>9</v>
      </c>
      <c r="B6" t="s">
        <v>73</v>
      </c>
    </row>
    <row r="7" spans="1:2" x14ac:dyDescent="0.35">
      <c r="A7" t="s">
        <v>16</v>
      </c>
      <c r="B7" t="s">
        <v>39</v>
      </c>
    </row>
    <row r="8" spans="1:2" x14ac:dyDescent="0.35">
      <c r="A8" t="s">
        <v>17</v>
      </c>
      <c r="B8" t="s">
        <v>40</v>
      </c>
    </row>
    <row r="9" spans="1:2" x14ac:dyDescent="0.35">
      <c r="A9" t="s">
        <v>19</v>
      </c>
      <c r="B9" t="s">
        <v>41</v>
      </c>
    </row>
    <row r="10" spans="1:2" x14ac:dyDescent="0.35">
      <c r="A10" t="s">
        <v>63</v>
      </c>
      <c r="B10" t="s">
        <v>64</v>
      </c>
    </row>
    <row r="11" spans="1:2" x14ac:dyDescent="0.35">
      <c r="A11" t="s">
        <v>65</v>
      </c>
      <c r="B11" t="s">
        <v>66</v>
      </c>
    </row>
    <row r="12" spans="1:2" x14ac:dyDescent="0.35">
      <c r="A12" t="s">
        <v>21</v>
      </c>
      <c r="B12" t="s">
        <v>42</v>
      </c>
    </row>
    <row r="13" spans="1:2" x14ac:dyDescent="0.35">
      <c r="A13" t="s">
        <v>22</v>
      </c>
      <c r="B13" t="s">
        <v>43</v>
      </c>
    </row>
    <row r="14" spans="1:2" x14ac:dyDescent="0.35">
      <c r="A14" t="s">
        <v>44</v>
      </c>
      <c r="B14" t="s">
        <v>45</v>
      </c>
    </row>
    <row r="15" spans="1:2" x14ac:dyDescent="0.35">
      <c r="A15" t="s">
        <v>47</v>
      </c>
      <c r="B15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104EE-6878-4150-A2EB-C0085EC33D8B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0"/>
  <sheetViews>
    <sheetView workbookViewId="0">
      <selection activeCell="F31" sqref="F31"/>
    </sheetView>
  </sheetViews>
  <sheetFormatPr defaultRowHeight="14.5" x14ac:dyDescent="0.35"/>
  <sheetData>
    <row r="1" spans="1:2" x14ac:dyDescent="0.35">
      <c r="A1" t="s">
        <v>1</v>
      </c>
      <c r="B1">
        <v>46.54</v>
      </c>
    </row>
    <row r="2" spans="1:2" x14ac:dyDescent="0.35">
      <c r="A2" t="s">
        <v>6</v>
      </c>
      <c r="B2">
        <v>54.54</v>
      </c>
    </row>
    <row r="3" spans="1:2" x14ac:dyDescent="0.35">
      <c r="A3" t="s">
        <v>2</v>
      </c>
      <c r="B3">
        <v>661.65700000000004</v>
      </c>
    </row>
    <row r="4" spans="1:2" x14ac:dyDescent="0.35">
      <c r="A4" t="s">
        <v>7</v>
      </c>
      <c r="B4">
        <v>911.2</v>
      </c>
    </row>
    <row r="5" spans="1:2" x14ac:dyDescent="0.35">
      <c r="A5" t="s">
        <v>8</v>
      </c>
      <c r="B5">
        <v>604.72</v>
      </c>
    </row>
    <row r="6" spans="1:2" x14ac:dyDescent="0.35">
      <c r="A6" t="s">
        <v>9</v>
      </c>
      <c r="B6">
        <v>795.86</v>
      </c>
    </row>
    <row r="7" spans="1:2" x14ac:dyDescent="0.35">
      <c r="A7" t="s">
        <v>10</v>
      </c>
      <c r="B7">
        <v>834.85</v>
      </c>
    </row>
    <row r="8" spans="1:2" x14ac:dyDescent="0.35">
      <c r="A8" t="s">
        <v>11</v>
      </c>
      <c r="B8">
        <v>898.04200000000003</v>
      </c>
    </row>
    <row r="9" spans="1:2" x14ac:dyDescent="0.35">
      <c r="A9" t="s">
        <v>12</v>
      </c>
      <c r="B9">
        <v>1836.07</v>
      </c>
    </row>
    <row r="10" spans="1:2" x14ac:dyDescent="0.35">
      <c r="A10" t="s">
        <v>13</v>
      </c>
      <c r="B10">
        <v>356.0129</v>
      </c>
    </row>
    <row r="11" spans="1:2" x14ac:dyDescent="0.35">
      <c r="A11" t="s">
        <v>3</v>
      </c>
      <c r="B11">
        <v>1173.2280000000001</v>
      </c>
    </row>
    <row r="12" spans="1:2" x14ac:dyDescent="0.35">
      <c r="A12" t="s">
        <v>14</v>
      </c>
      <c r="B12">
        <v>1332.492</v>
      </c>
    </row>
    <row r="13" spans="1:2" x14ac:dyDescent="0.35">
      <c r="A13" t="s">
        <v>15</v>
      </c>
      <c r="B13">
        <v>88.033600000000007</v>
      </c>
    </row>
    <row r="14" spans="1:2" x14ac:dyDescent="0.35">
      <c r="A14" t="s">
        <v>16</v>
      </c>
      <c r="B14">
        <v>238.63200000000001</v>
      </c>
    </row>
    <row r="15" spans="1:2" x14ac:dyDescent="0.35">
      <c r="A15" t="s">
        <v>17</v>
      </c>
      <c r="B15">
        <v>727.33</v>
      </c>
    </row>
    <row r="16" spans="1:2" x14ac:dyDescent="0.35">
      <c r="A16" t="s">
        <v>18</v>
      </c>
      <c r="B16">
        <v>1460.8219999999999</v>
      </c>
    </row>
    <row r="17" spans="1:2" x14ac:dyDescent="0.35">
      <c r="A17" t="s">
        <v>19</v>
      </c>
      <c r="B17">
        <v>609.31200000000001</v>
      </c>
    </row>
    <row r="18" spans="1:2" x14ac:dyDescent="0.35">
      <c r="A18" t="s">
        <v>20</v>
      </c>
      <c r="B18">
        <v>295.22399999999999</v>
      </c>
    </row>
    <row r="19" spans="1:2" x14ac:dyDescent="0.35">
      <c r="A19" t="s">
        <v>21</v>
      </c>
      <c r="B19">
        <v>351.93200000000002</v>
      </c>
    </row>
    <row r="20" spans="1:2" x14ac:dyDescent="0.35">
      <c r="A20" t="s">
        <v>22</v>
      </c>
      <c r="B20">
        <v>241.99700000000001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22"/>
  <sheetViews>
    <sheetView workbookViewId="0">
      <selection activeCell="D37" sqref="D37"/>
    </sheetView>
  </sheetViews>
  <sheetFormatPr defaultRowHeight="14.5" x14ac:dyDescent="0.35"/>
  <sheetData>
    <row r="1" spans="1:4" x14ac:dyDescent="0.35">
      <c r="A1" s="2"/>
      <c r="B1" s="2"/>
      <c r="C1" s="2"/>
      <c r="D1" s="2"/>
    </row>
    <row r="2" spans="1:4" x14ac:dyDescent="0.35">
      <c r="A2" s="3"/>
      <c r="B2" s="3"/>
      <c r="C2" s="2"/>
      <c r="D2" s="2"/>
    </row>
    <row r="3" spans="1:4" x14ac:dyDescent="0.35">
      <c r="A3" s="3"/>
      <c r="B3" s="3"/>
      <c r="C3" s="2"/>
      <c r="D3" s="2"/>
    </row>
    <row r="4" spans="1:4" x14ac:dyDescent="0.35">
      <c r="A4" s="3"/>
      <c r="B4" s="3"/>
      <c r="C4" s="2"/>
      <c r="D4" s="2"/>
    </row>
    <row r="5" spans="1:4" x14ac:dyDescent="0.35">
      <c r="A5" s="3"/>
      <c r="B5" s="3"/>
      <c r="C5" s="2"/>
      <c r="D5" s="2"/>
    </row>
    <row r="6" spans="1:4" x14ac:dyDescent="0.35">
      <c r="A6" s="3"/>
      <c r="B6" s="3"/>
      <c r="C6" s="2"/>
      <c r="D6" s="2"/>
    </row>
    <row r="7" spans="1:4" x14ac:dyDescent="0.35">
      <c r="A7" s="3"/>
      <c r="B7" s="3"/>
      <c r="C7" s="2"/>
      <c r="D7" s="2"/>
    </row>
    <row r="8" spans="1:4" x14ac:dyDescent="0.35">
      <c r="A8" s="3"/>
      <c r="B8" s="3"/>
      <c r="C8" s="2"/>
      <c r="D8" s="2"/>
    </row>
    <row r="9" spans="1:4" x14ac:dyDescent="0.35">
      <c r="A9" s="3"/>
      <c r="B9" s="3"/>
      <c r="C9" s="2"/>
      <c r="D9" s="2"/>
    </row>
    <row r="10" spans="1:4" x14ac:dyDescent="0.35">
      <c r="A10" s="3"/>
      <c r="B10" s="3"/>
      <c r="C10" s="2"/>
      <c r="D10" s="2"/>
    </row>
    <row r="11" spans="1:4" x14ac:dyDescent="0.35">
      <c r="A11" s="3"/>
      <c r="B11" s="3"/>
      <c r="C11" s="2"/>
      <c r="D11" s="2"/>
    </row>
    <row r="12" spans="1:4" x14ac:dyDescent="0.35">
      <c r="A12" s="3"/>
      <c r="B12" s="3"/>
      <c r="C12" s="2"/>
      <c r="D12" s="2"/>
    </row>
    <row r="13" spans="1:4" x14ac:dyDescent="0.35">
      <c r="A13" s="3"/>
      <c r="B13" s="3"/>
      <c r="C13" s="2"/>
      <c r="D13" s="2"/>
    </row>
    <row r="14" spans="1:4" x14ac:dyDescent="0.35">
      <c r="A14" s="3"/>
      <c r="B14" s="3"/>
      <c r="C14" s="2"/>
      <c r="D14" s="2"/>
    </row>
    <row r="15" spans="1:4" x14ac:dyDescent="0.35">
      <c r="A15" s="2"/>
      <c r="B15" s="3"/>
      <c r="C15" s="2"/>
      <c r="D15" s="2"/>
    </row>
    <row r="16" spans="1:4" x14ac:dyDescent="0.35">
      <c r="A16" s="2"/>
      <c r="B16" s="2"/>
      <c r="C16" s="2"/>
      <c r="D16" s="2"/>
    </row>
    <row r="17" spans="1:4" x14ac:dyDescent="0.35">
      <c r="A17" s="2"/>
      <c r="B17" s="2"/>
      <c r="C17" s="2"/>
      <c r="D17" s="3"/>
    </row>
    <row r="18" spans="1:4" x14ac:dyDescent="0.35">
      <c r="A18" s="2"/>
      <c r="B18" s="2"/>
      <c r="C18" s="2"/>
      <c r="D18" s="2"/>
    </row>
    <row r="19" spans="1:4" x14ac:dyDescent="0.35">
      <c r="A19" s="2"/>
      <c r="B19" s="2"/>
      <c r="C19" s="2"/>
      <c r="D19" s="2"/>
    </row>
    <row r="20" spans="1:4" x14ac:dyDescent="0.35">
      <c r="A20" s="2"/>
      <c r="B20" s="2"/>
      <c r="C20" s="2"/>
      <c r="D20" s="2"/>
    </row>
    <row r="21" spans="1:4" x14ac:dyDescent="0.35">
      <c r="A21" s="2"/>
      <c r="B21" s="2"/>
      <c r="C21" s="2"/>
      <c r="D21" s="2"/>
    </row>
    <row r="22" spans="1:4" x14ac:dyDescent="0.35">
      <c r="A22" s="2"/>
      <c r="B22" s="2"/>
      <c r="C22" s="2"/>
      <c r="D2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184150</xdr:rowOff>
                  </from>
                  <to>
                    <xdr:col>2</xdr:col>
                    <xdr:colOff>457200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6350</xdr:rowOff>
                  </from>
                  <to>
                    <xdr:col>2</xdr:col>
                    <xdr:colOff>482600</xdr:colOff>
                    <xdr:row>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0</xdr:col>
                    <xdr:colOff>38100</xdr:colOff>
                    <xdr:row>3</xdr:row>
                    <xdr:rowOff>184150</xdr:rowOff>
                  </from>
                  <to>
                    <xdr:col>2</xdr:col>
                    <xdr:colOff>463550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 macro="[0]!CheckBox5_Click">
                <anchor moveWithCells="1">
                  <from>
                    <xdr:col>0</xdr:col>
                    <xdr:colOff>38100</xdr:colOff>
                    <xdr:row>5</xdr:row>
                    <xdr:rowOff>184150</xdr:rowOff>
                  </from>
                  <to>
                    <xdr:col>2</xdr:col>
                    <xdr:colOff>457200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7</xdr:row>
                    <xdr:rowOff>25400</xdr:rowOff>
                  </from>
                  <to>
                    <xdr:col>2</xdr:col>
                    <xdr:colOff>463550</xdr:colOff>
                    <xdr:row>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184150</xdr:rowOff>
                  </from>
                  <to>
                    <xdr:col>2</xdr:col>
                    <xdr:colOff>444500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Check Box 7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0</xdr:rowOff>
                  </from>
                  <to>
                    <xdr:col>2</xdr:col>
                    <xdr:colOff>457200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Check Box 8">
              <controlPr defaultSize="0" autoFill="0" autoLine="0" autoPict="0">
                <anchor moveWithCells="1">
                  <from>
                    <xdr:col>0</xdr:col>
                    <xdr:colOff>38100</xdr:colOff>
                    <xdr:row>8</xdr:row>
                    <xdr:rowOff>190500</xdr:rowOff>
                  </from>
                  <to>
                    <xdr:col>2</xdr:col>
                    <xdr:colOff>457200</xdr:colOff>
                    <xdr:row>10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Check Box 9">
              <controlPr defaultSize="0" autoFill="0" autoLine="0" autoPict="0">
                <anchor moveWithCells="1">
                  <from>
                    <xdr:col>0</xdr:col>
                    <xdr:colOff>38100</xdr:colOff>
                    <xdr:row>9</xdr:row>
                    <xdr:rowOff>184150</xdr:rowOff>
                  </from>
                  <to>
                    <xdr:col>2</xdr:col>
                    <xdr:colOff>444500</xdr:colOff>
                    <xdr:row>11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Check Box 10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25400</xdr:rowOff>
                  </from>
                  <to>
                    <xdr:col>2</xdr:col>
                    <xdr:colOff>444500</xdr:colOff>
                    <xdr:row>13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Check Box 11">
              <controlPr defaultSize="0" autoFill="0" autoLine="0" autoPict="0">
                <anchor moveWithCells="1">
                  <from>
                    <xdr:col>0</xdr:col>
                    <xdr:colOff>38100</xdr:colOff>
                    <xdr:row>4</xdr:row>
                    <xdr:rowOff>184150</xdr:rowOff>
                  </from>
                  <to>
                    <xdr:col>2</xdr:col>
                    <xdr:colOff>450850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Check Box 12">
              <controlPr defaultSize="0" autoFill="0" autoLine="0" autoPict="0">
                <anchor moveWithCells="1">
                  <from>
                    <xdr:col>0</xdr:col>
                    <xdr:colOff>38100</xdr:colOff>
                    <xdr:row>11</xdr:row>
                    <xdr:rowOff>25400</xdr:rowOff>
                  </from>
                  <to>
                    <xdr:col>2</xdr:col>
                    <xdr:colOff>444500</xdr:colOff>
                    <xdr:row>12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Check Box 13">
              <controlPr defaultSize="0" autoFill="0" autoLine="0" autoPict="0">
                <anchor moveWithCells="1">
                  <from>
                    <xdr:col>0</xdr:col>
                    <xdr:colOff>38100</xdr:colOff>
                    <xdr:row>14</xdr:row>
                    <xdr:rowOff>184150</xdr:rowOff>
                  </from>
                  <to>
                    <xdr:col>2</xdr:col>
                    <xdr:colOff>444500</xdr:colOff>
                    <xdr:row>16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Check Box 14">
              <controlPr defaultSize="0" autoFill="0" autoLine="0" autoPict="0">
                <anchor moveWithCells="1">
                  <from>
                    <xdr:col>0</xdr:col>
                    <xdr:colOff>38100</xdr:colOff>
                    <xdr:row>16</xdr:row>
                    <xdr:rowOff>184150</xdr:rowOff>
                  </from>
                  <to>
                    <xdr:col>2</xdr:col>
                    <xdr:colOff>444500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Check Box 15">
              <controlPr defaultSize="0" autoFill="0" autoLine="0" autoPict="0">
                <anchor moveWithCells="1">
                  <from>
                    <xdr:col>0</xdr:col>
                    <xdr:colOff>38100</xdr:colOff>
                    <xdr:row>13</xdr:row>
                    <xdr:rowOff>184150</xdr:rowOff>
                  </from>
                  <to>
                    <xdr:col>2</xdr:col>
                    <xdr:colOff>444500</xdr:colOff>
                    <xdr:row>15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Check Box 16">
              <controlPr defaultSize="0" autoFill="0" autoLine="0" autoPict="0">
                <anchor moveWithCells="1">
                  <from>
                    <xdr:col>0</xdr:col>
                    <xdr:colOff>38100</xdr:colOff>
                    <xdr:row>15</xdr:row>
                    <xdr:rowOff>184150</xdr:rowOff>
                  </from>
                  <to>
                    <xdr:col>2</xdr:col>
                    <xdr:colOff>444500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NetPeakAreas</vt:lpstr>
      <vt:lpstr>NLS</vt:lpstr>
      <vt:lpstr>Temporary</vt:lpstr>
      <vt:lpstr>Nuclide Library</vt:lpstr>
      <vt:lpstr>Sheet2</vt:lpstr>
    </vt:vector>
  </TitlesOfParts>
  <Company>ANSTO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MOTTA, Gabriele</dc:creator>
  <cp:lastModifiedBy>MOTTA, Gabriele</cp:lastModifiedBy>
  <dcterms:created xsi:type="dcterms:W3CDTF">2020-10-19T05:23:37Z</dcterms:created>
  <dcterms:modified xsi:type="dcterms:W3CDTF">2023-05-29T04:16:40Z</dcterms:modified>
</cp:coreProperties>
</file>